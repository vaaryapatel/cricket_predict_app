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2e3080280a7a9c8/Desktop/SSDI/"/>
    </mc:Choice>
  </mc:AlternateContent>
  <xr:revisionPtr revIDLastSave="9937" documentId="8_{E64B3D0A-4A1F-4775-881A-9D9E017C8AE2}" xr6:coauthVersionLast="47" xr6:coauthVersionMax="47" xr10:uidLastSave="{BECA9807-F21E-4079-A347-14577076F8B8}"/>
  <bookViews>
    <workbookView xWindow="-108" yWindow="-108" windowWidth="23256" windowHeight="12456" xr2:uid="{ED102920-F987-4535-94EB-4F87395903A7}"/>
  </bookViews>
  <sheets>
    <sheet name="credit5" sheetId="1" r:id="rId1"/>
  </sheets>
  <definedNames>
    <definedName name="solver_adj" localSheetId="0" hidden="1">credit5!$Q$3:$Q$13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credit5!$Q$23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0"/>
</workbook>
</file>

<file path=xl/calcChain.xml><?xml version="1.0" encoding="utf-8"?>
<calcChain xmlns="http://schemas.openxmlformats.org/spreadsheetml/2006/main">
  <c r="M2" i="1" l="1"/>
  <c r="N2" i="1" s="1"/>
  <c r="Q19" i="1"/>
  <c r="Q20" i="1" s="1"/>
  <c r="M3" i="1"/>
  <c r="N3" i="1" s="1"/>
  <c r="M4" i="1"/>
  <c r="N4" i="1" s="1"/>
  <c r="M5" i="1"/>
  <c r="N5" i="1" s="1"/>
  <c r="M6" i="1"/>
  <c r="N6" i="1" s="1"/>
  <c r="M7" i="1"/>
  <c r="N7" i="1" s="1"/>
  <c r="M8" i="1"/>
  <c r="N8" i="1" s="1"/>
  <c r="M9" i="1"/>
  <c r="N9" i="1" s="1"/>
  <c r="M10" i="1"/>
  <c r="N10" i="1" s="1"/>
  <c r="M11" i="1"/>
  <c r="N11" i="1" s="1"/>
  <c r="M12" i="1"/>
  <c r="N12" i="1" s="1"/>
  <c r="M13" i="1"/>
  <c r="N13" i="1" s="1"/>
  <c r="M14" i="1"/>
  <c r="N14" i="1" s="1"/>
  <c r="M15" i="1"/>
  <c r="N15" i="1" s="1"/>
  <c r="M16" i="1"/>
  <c r="N16" i="1" s="1"/>
  <c r="M17" i="1"/>
  <c r="N17" i="1" s="1"/>
  <c r="M18" i="1"/>
  <c r="N18" i="1" s="1"/>
  <c r="M19" i="1"/>
  <c r="N19" i="1" s="1"/>
  <c r="M20" i="1"/>
  <c r="N20" i="1" s="1"/>
  <c r="M21" i="1"/>
  <c r="N21" i="1" s="1"/>
  <c r="M22" i="1"/>
  <c r="N22" i="1" s="1"/>
  <c r="M23" i="1"/>
  <c r="N23" i="1" s="1"/>
  <c r="M24" i="1"/>
  <c r="N24" i="1" s="1"/>
  <c r="M25" i="1"/>
  <c r="N25" i="1" s="1"/>
  <c r="M26" i="1"/>
  <c r="N26" i="1" s="1"/>
  <c r="M27" i="1"/>
  <c r="N27" i="1" s="1"/>
  <c r="M28" i="1"/>
  <c r="N28" i="1" s="1"/>
  <c r="M29" i="1"/>
  <c r="N29" i="1" s="1"/>
  <c r="M30" i="1"/>
  <c r="N30" i="1" s="1"/>
  <c r="M31" i="1"/>
  <c r="N31" i="1" s="1"/>
  <c r="M32" i="1"/>
  <c r="N32" i="1" s="1"/>
  <c r="M33" i="1"/>
  <c r="N33" i="1" s="1"/>
  <c r="M34" i="1"/>
  <c r="N34" i="1" s="1"/>
  <c r="M35" i="1"/>
  <c r="N35" i="1" s="1"/>
  <c r="M36" i="1"/>
  <c r="N36" i="1" s="1"/>
  <c r="M37" i="1"/>
  <c r="N37" i="1" s="1"/>
  <c r="M38" i="1"/>
  <c r="N38" i="1" s="1"/>
  <c r="M39" i="1"/>
  <c r="N39" i="1" s="1"/>
  <c r="M40" i="1"/>
  <c r="N40" i="1" s="1"/>
  <c r="M41" i="1"/>
  <c r="N41" i="1" s="1"/>
  <c r="M42" i="1"/>
  <c r="N42" i="1" s="1"/>
  <c r="M43" i="1"/>
  <c r="N43" i="1" s="1"/>
  <c r="M44" i="1"/>
  <c r="N44" i="1" s="1"/>
  <c r="M45" i="1"/>
  <c r="N45" i="1" s="1"/>
  <c r="M46" i="1"/>
  <c r="N46" i="1" s="1"/>
  <c r="M47" i="1"/>
  <c r="N47" i="1" s="1"/>
  <c r="M48" i="1"/>
  <c r="N48" i="1" s="1"/>
  <c r="M49" i="1"/>
  <c r="N49" i="1" s="1"/>
  <c r="M50" i="1"/>
  <c r="N50" i="1" s="1"/>
  <c r="M51" i="1"/>
  <c r="N51" i="1" s="1"/>
  <c r="M52" i="1"/>
  <c r="N52" i="1" s="1"/>
  <c r="M53" i="1"/>
  <c r="N53" i="1" s="1"/>
  <c r="M54" i="1"/>
  <c r="N54" i="1" s="1"/>
  <c r="M55" i="1"/>
  <c r="N55" i="1" s="1"/>
  <c r="M56" i="1"/>
  <c r="N56" i="1" s="1"/>
  <c r="M57" i="1"/>
  <c r="N57" i="1" s="1"/>
  <c r="M58" i="1"/>
  <c r="N58" i="1" s="1"/>
  <c r="M59" i="1"/>
  <c r="N59" i="1" s="1"/>
  <c r="M60" i="1"/>
  <c r="N60" i="1" s="1"/>
  <c r="M61" i="1"/>
  <c r="N61" i="1" s="1"/>
  <c r="M62" i="1"/>
  <c r="N62" i="1" s="1"/>
  <c r="M63" i="1"/>
  <c r="N63" i="1" s="1"/>
  <c r="M64" i="1"/>
  <c r="N64" i="1" s="1"/>
  <c r="M65" i="1"/>
  <c r="N65" i="1" s="1"/>
  <c r="M66" i="1"/>
  <c r="N66" i="1" s="1"/>
  <c r="M67" i="1"/>
  <c r="N67" i="1" s="1"/>
  <c r="M68" i="1"/>
  <c r="N68" i="1" s="1"/>
  <c r="M69" i="1"/>
  <c r="N69" i="1" s="1"/>
  <c r="M70" i="1"/>
  <c r="N70" i="1" s="1"/>
  <c r="M71" i="1"/>
  <c r="N71" i="1" s="1"/>
  <c r="M72" i="1"/>
  <c r="N72" i="1" s="1"/>
  <c r="M73" i="1"/>
  <c r="N73" i="1" s="1"/>
  <c r="M74" i="1"/>
  <c r="N74" i="1" s="1"/>
  <c r="M75" i="1"/>
  <c r="N75" i="1" s="1"/>
  <c r="M76" i="1"/>
  <c r="N76" i="1" s="1"/>
  <c r="M77" i="1"/>
  <c r="N77" i="1" s="1"/>
  <c r="M78" i="1"/>
  <c r="N78" i="1" s="1"/>
  <c r="M79" i="1"/>
  <c r="N79" i="1" s="1"/>
  <c r="M80" i="1"/>
  <c r="N80" i="1" s="1"/>
  <c r="M81" i="1"/>
  <c r="N81" i="1" s="1"/>
  <c r="M82" i="1"/>
  <c r="N82" i="1" s="1"/>
  <c r="M83" i="1"/>
  <c r="N83" i="1" s="1"/>
  <c r="M84" i="1"/>
  <c r="N84" i="1" s="1"/>
  <c r="M85" i="1"/>
  <c r="N85" i="1" s="1"/>
  <c r="M86" i="1"/>
  <c r="N86" i="1" s="1"/>
  <c r="M87" i="1"/>
  <c r="N87" i="1" s="1"/>
  <c r="M88" i="1"/>
  <c r="N88" i="1" s="1"/>
  <c r="M89" i="1"/>
  <c r="N89" i="1" s="1"/>
  <c r="M90" i="1"/>
  <c r="N90" i="1" s="1"/>
  <c r="M91" i="1"/>
  <c r="N91" i="1" s="1"/>
  <c r="M92" i="1"/>
  <c r="N92" i="1" s="1"/>
  <c r="M93" i="1"/>
  <c r="N93" i="1" s="1"/>
  <c r="M94" i="1"/>
  <c r="N94" i="1" s="1"/>
  <c r="M95" i="1"/>
  <c r="N95" i="1" s="1"/>
  <c r="M96" i="1"/>
  <c r="N96" i="1" s="1"/>
  <c r="M97" i="1"/>
  <c r="N97" i="1" s="1"/>
  <c r="M98" i="1"/>
  <c r="N98" i="1" s="1"/>
  <c r="M99" i="1"/>
  <c r="N99" i="1" s="1"/>
  <c r="M100" i="1"/>
  <c r="N100" i="1" s="1"/>
  <c r="M101" i="1"/>
  <c r="N101" i="1" s="1"/>
  <c r="M102" i="1"/>
  <c r="N102" i="1" s="1"/>
  <c r="M103" i="1"/>
  <c r="N103" i="1" s="1"/>
  <c r="M104" i="1"/>
  <c r="N104" i="1" s="1"/>
  <c r="M105" i="1"/>
  <c r="N105" i="1" s="1"/>
  <c r="M106" i="1"/>
  <c r="N106" i="1" s="1"/>
  <c r="M107" i="1"/>
  <c r="N107" i="1" s="1"/>
  <c r="M108" i="1"/>
  <c r="N108" i="1" s="1"/>
  <c r="M109" i="1"/>
  <c r="N109" i="1" s="1"/>
  <c r="M110" i="1"/>
  <c r="N110" i="1" s="1"/>
  <c r="M111" i="1"/>
  <c r="N111" i="1" s="1"/>
  <c r="M112" i="1"/>
  <c r="N112" i="1" s="1"/>
  <c r="M113" i="1"/>
  <c r="N113" i="1" s="1"/>
  <c r="M114" i="1"/>
  <c r="N114" i="1" s="1"/>
  <c r="M115" i="1"/>
  <c r="N115" i="1" s="1"/>
  <c r="M116" i="1"/>
  <c r="N116" i="1" s="1"/>
  <c r="M117" i="1"/>
  <c r="N117" i="1" s="1"/>
  <c r="M118" i="1"/>
  <c r="N118" i="1" s="1"/>
  <c r="M119" i="1"/>
  <c r="N119" i="1" s="1"/>
  <c r="M120" i="1"/>
  <c r="N120" i="1" s="1"/>
  <c r="M121" i="1"/>
  <c r="N121" i="1" s="1"/>
  <c r="M122" i="1"/>
  <c r="N122" i="1" s="1"/>
  <c r="M123" i="1"/>
  <c r="N123" i="1" s="1"/>
  <c r="M124" i="1"/>
  <c r="N124" i="1" s="1"/>
  <c r="M125" i="1"/>
  <c r="N125" i="1" s="1"/>
  <c r="M126" i="1"/>
  <c r="N126" i="1" s="1"/>
  <c r="M127" i="1"/>
  <c r="N127" i="1" s="1"/>
  <c r="M128" i="1"/>
  <c r="N128" i="1" s="1"/>
  <c r="M129" i="1"/>
  <c r="N129" i="1" s="1"/>
  <c r="M130" i="1"/>
  <c r="N130" i="1" s="1"/>
  <c r="M131" i="1"/>
  <c r="N131" i="1" s="1"/>
  <c r="M132" i="1"/>
  <c r="N132" i="1" s="1"/>
  <c r="M133" i="1"/>
  <c r="N133" i="1" s="1"/>
  <c r="M134" i="1"/>
  <c r="N134" i="1" s="1"/>
  <c r="M135" i="1"/>
  <c r="N135" i="1" s="1"/>
  <c r="M136" i="1"/>
  <c r="N136" i="1" s="1"/>
  <c r="M137" i="1"/>
  <c r="N137" i="1" s="1"/>
  <c r="M138" i="1"/>
  <c r="N138" i="1" s="1"/>
  <c r="M139" i="1"/>
  <c r="N139" i="1" s="1"/>
  <c r="M140" i="1"/>
  <c r="N140" i="1" s="1"/>
  <c r="M141" i="1"/>
  <c r="N141" i="1" s="1"/>
  <c r="M142" i="1"/>
  <c r="N142" i="1" s="1"/>
  <c r="M143" i="1"/>
  <c r="N143" i="1" s="1"/>
  <c r="M144" i="1"/>
  <c r="N144" i="1" s="1"/>
  <c r="M145" i="1"/>
  <c r="N145" i="1" s="1"/>
  <c r="M146" i="1"/>
  <c r="N146" i="1" s="1"/>
  <c r="M147" i="1"/>
  <c r="N147" i="1" s="1"/>
  <c r="M148" i="1"/>
  <c r="N148" i="1" s="1"/>
  <c r="M149" i="1"/>
  <c r="N149" i="1" s="1"/>
  <c r="M150" i="1"/>
  <c r="N150" i="1" s="1"/>
  <c r="M151" i="1"/>
  <c r="N151" i="1" s="1"/>
  <c r="M152" i="1"/>
  <c r="N152" i="1" s="1"/>
  <c r="M153" i="1"/>
  <c r="N153" i="1" s="1"/>
  <c r="M154" i="1"/>
  <c r="N154" i="1" s="1"/>
  <c r="M155" i="1"/>
  <c r="N155" i="1" s="1"/>
  <c r="M156" i="1"/>
  <c r="N156" i="1" s="1"/>
  <c r="M157" i="1"/>
  <c r="N157" i="1" s="1"/>
  <c r="M158" i="1"/>
  <c r="N158" i="1" s="1"/>
  <c r="M159" i="1"/>
  <c r="N159" i="1" s="1"/>
  <c r="M160" i="1"/>
  <c r="N160" i="1" s="1"/>
  <c r="M161" i="1"/>
  <c r="N161" i="1" s="1"/>
  <c r="M162" i="1"/>
  <c r="N162" i="1" s="1"/>
  <c r="M163" i="1"/>
  <c r="N163" i="1" s="1"/>
  <c r="M164" i="1"/>
  <c r="N164" i="1" s="1"/>
  <c r="M165" i="1"/>
  <c r="N165" i="1" s="1"/>
  <c r="M166" i="1"/>
  <c r="N166" i="1" s="1"/>
  <c r="M167" i="1"/>
  <c r="N167" i="1" s="1"/>
  <c r="M168" i="1"/>
  <c r="N168" i="1" s="1"/>
  <c r="M169" i="1"/>
  <c r="N169" i="1" s="1"/>
  <c r="M170" i="1"/>
  <c r="N170" i="1" s="1"/>
  <c r="M171" i="1"/>
  <c r="N171" i="1" s="1"/>
  <c r="M172" i="1"/>
  <c r="N172" i="1" s="1"/>
  <c r="M173" i="1"/>
  <c r="N173" i="1" s="1"/>
  <c r="M174" i="1"/>
  <c r="N174" i="1" s="1"/>
  <c r="M175" i="1"/>
  <c r="N175" i="1" s="1"/>
  <c r="M176" i="1"/>
  <c r="N176" i="1" s="1"/>
  <c r="M177" i="1"/>
  <c r="N177" i="1" s="1"/>
  <c r="M178" i="1"/>
  <c r="N178" i="1" s="1"/>
  <c r="M179" i="1"/>
  <c r="N179" i="1" s="1"/>
  <c r="M180" i="1"/>
  <c r="N180" i="1" s="1"/>
  <c r="M181" i="1"/>
  <c r="N181" i="1" s="1"/>
  <c r="M182" i="1"/>
  <c r="N182" i="1" s="1"/>
  <c r="M183" i="1"/>
  <c r="N183" i="1" s="1"/>
  <c r="M184" i="1"/>
  <c r="N184" i="1" s="1"/>
  <c r="M185" i="1"/>
  <c r="N185" i="1" s="1"/>
  <c r="M186" i="1"/>
  <c r="N186" i="1" s="1"/>
  <c r="M187" i="1"/>
  <c r="N187" i="1" s="1"/>
  <c r="M188" i="1"/>
  <c r="N188" i="1" s="1"/>
  <c r="M189" i="1"/>
  <c r="N189" i="1" s="1"/>
  <c r="M190" i="1"/>
  <c r="N190" i="1" s="1"/>
  <c r="M191" i="1"/>
  <c r="N191" i="1" s="1"/>
  <c r="M192" i="1"/>
  <c r="N192" i="1" s="1"/>
  <c r="M193" i="1"/>
  <c r="N193" i="1" s="1"/>
  <c r="M194" i="1"/>
  <c r="N194" i="1" s="1"/>
  <c r="M195" i="1"/>
  <c r="N195" i="1" s="1"/>
  <c r="M196" i="1"/>
  <c r="N196" i="1" s="1"/>
  <c r="M197" i="1"/>
  <c r="N197" i="1" s="1"/>
  <c r="M198" i="1"/>
  <c r="N198" i="1" s="1"/>
  <c r="M199" i="1"/>
  <c r="N199" i="1" s="1"/>
  <c r="M200" i="1"/>
  <c r="N200" i="1" s="1"/>
  <c r="M201" i="1"/>
  <c r="N201" i="1" s="1"/>
  <c r="M202" i="1"/>
  <c r="N202" i="1" s="1"/>
  <c r="M203" i="1"/>
  <c r="N203" i="1" s="1"/>
  <c r="M204" i="1"/>
  <c r="N204" i="1" s="1"/>
  <c r="M205" i="1"/>
  <c r="N205" i="1" s="1"/>
  <c r="M206" i="1"/>
  <c r="N206" i="1" s="1"/>
  <c r="M207" i="1"/>
  <c r="N207" i="1" s="1"/>
  <c r="M208" i="1"/>
  <c r="N208" i="1" s="1"/>
  <c r="M209" i="1"/>
  <c r="N209" i="1" s="1"/>
  <c r="M210" i="1"/>
  <c r="N210" i="1" s="1"/>
  <c r="M211" i="1"/>
  <c r="N211" i="1" s="1"/>
  <c r="M212" i="1"/>
  <c r="N212" i="1" s="1"/>
  <c r="M213" i="1"/>
  <c r="N213" i="1" s="1"/>
  <c r="M214" i="1"/>
  <c r="N214" i="1" s="1"/>
  <c r="M215" i="1"/>
  <c r="N215" i="1" s="1"/>
  <c r="M216" i="1"/>
  <c r="N216" i="1" s="1"/>
  <c r="M217" i="1"/>
  <c r="N217" i="1" s="1"/>
  <c r="M218" i="1"/>
  <c r="N218" i="1" s="1"/>
  <c r="M219" i="1"/>
  <c r="N219" i="1" s="1"/>
  <c r="M220" i="1"/>
  <c r="N220" i="1" s="1"/>
  <c r="M221" i="1"/>
  <c r="N221" i="1" s="1"/>
  <c r="M222" i="1"/>
  <c r="N222" i="1" s="1"/>
  <c r="M223" i="1"/>
  <c r="N223" i="1" s="1"/>
  <c r="M224" i="1"/>
  <c r="N224" i="1" s="1"/>
  <c r="M225" i="1"/>
  <c r="N225" i="1" s="1"/>
  <c r="M226" i="1"/>
  <c r="N226" i="1" s="1"/>
  <c r="M227" i="1"/>
  <c r="N227" i="1" s="1"/>
  <c r="M228" i="1"/>
  <c r="N228" i="1" s="1"/>
  <c r="M229" i="1"/>
  <c r="N229" i="1" s="1"/>
  <c r="M230" i="1"/>
  <c r="N230" i="1" s="1"/>
  <c r="M231" i="1"/>
  <c r="N231" i="1" s="1"/>
  <c r="M232" i="1"/>
  <c r="N232" i="1" s="1"/>
  <c r="M233" i="1"/>
  <c r="N233" i="1" s="1"/>
  <c r="M234" i="1"/>
  <c r="N234" i="1" s="1"/>
  <c r="M235" i="1"/>
  <c r="N235" i="1" s="1"/>
  <c r="M236" i="1"/>
  <c r="N236" i="1" s="1"/>
  <c r="M237" i="1"/>
  <c r="N237" i="1" s="1"/>
  <c r="M238" i="1"/>
  <c r="N238" i="1" s="1"/>
  <c r="M239" i="1"/>
  <c r="N239" i="1" s="1"/>
  <c r="M240" i="1"/>
  <c r="N240" i="1" s="1"/>
  <c r="M241" i="1"/>
  <c r="N241" i="1" s="1"/>
  <c r="M242" i="1"/>
  <c r="N242" i="1" s="1"/>
  <c r="M243" i="1"/>
  <c r="N243" i="1" s="1"/>
  <c r="M244" i="1"/>
  <c r="N244" i="1" s="1"/>
  <c r="M245" i="1"/>
  <c r="N245" i="1" s="1"/>
  <c r="M246" i="1"/>
  <c r="N246" i="1" s="1"/>
  <c r="M247" i="1"/>
  <c r="N247" i="1" s="1"/>
  <c r="M248" i="1"/>
  <c r="N248" i="1" s="1"/>
  <c r="M249" i="1"/>
  <c r="N249" i="1" s="1"/>
  <c r="M250" i="1"/>
  <c r="N250" i="1" s="1"/>
  <c r="M251" i="1"/>
  <c r="N251" i="1" s="1"/>
  <c r="M252" i="1"/>
  <c r="N252" i="1" s="1"/>
  <c r="M253" i="1"/>
  <c r="N253" i="1" s="1"/>
  <c r="M254" i="1"/>
  <c r="N254" i="1" s="1"/>
  <c r="M255" i="1"/>
  <c r="N255" i="1" s="1"/>
  <c r="M256" i="1"/>
  <c r="N256" i="1" s="1"/>
  <c r="M257" i="1"/>
  <c r="N257" i="1" s="1"/>
  <c r="M258" i="1"/>
  <c r="N258" i="1" s="1"/>
  <c r="M259" i="1"/>
  <c r="N259" i="1" s="1"/>
  <c r="M260" i="1"/>
  <c r="N260" i="1" s="1"/>
  <c r="M261" i="1"/>
  <c r="N261" i="1" s="1"/>
  <c r="M262" i="1"/>
  <c r="N262" i="1" s="1"/>
  <c r="M263" i="1"/>
  <c r="N263" i="1" s="1"/>
  <c r="M264" i="1"/>
  <c r="N264" i="1" s="1"/>
  <c r="M265" i="1"/>
  <c r="N265" i="1" s="1"/>
  <c r="M266" i="1"/>
  <c r="N266" i="1" s="1"/>
  <c r="M267" i="1"/>
  <c r="N267" i="1" s="1"/>
  <c r="M268" i="1"/>
  <c r="N268" i="1" s="1"/>
  <c r="M269" i="1"/>
  <c r="N269" i="1" s="1"/>
  <c r="M270" i="1"/>
  <c r="N270" i="1" s="1"/>
  <c r="M271" i="1"/>
  <c r="N271" i="1" s="1"/>
  <c r="M272" i="1"/>
  <c r="N272" i="1" s="1"/>
  <c r="M273" i="1"/>
  <c r="N273" i="1" s="1"/>
  <c r="M274" i="1"/>
  <c r="N274" i="1" s="1"/>
  <c r="M275" i="1"/>
  <c r="N275" i="1" s="1"/>
  <c r="M276" i="1"/>
  <c r="N276" i="1" s="1"/>
  <c r="M277" i="1"/>
  <c r="N277" i="1" s="1"/>
  <c r="M278" i="1"/>
  <c r="N278" i="1" s="1"/>
  <c r="M279" i="1"/>
  <c r="N279" i="1" s="1"/>
  <c r="M280" i="1"/>
  <c r="N280" i="1" s="1"/>
  <c r="M281" i="1"/>
  <c r="N281" i="1" s="1"/>
  <c r="M282" i="1"/>
  <c r="N282" i="1" s="1"/>
  <c r="M283" i="1"/>
  <c r="N283" i="1" s="1"/>
  <c r="M284" i="1"/>
  <c r="N284" i="1" s="1"/>
  <c r="M285" i="1"/>
  <c r="N285" i="1" s="1"/>
  <c r="M286" i="1"/>
  <c r="N286" i="1" s="1"/>
  <c r="M287" i="1"/>
  <c r="N287" i="1" s="1"/>
  <c r="M288" i="1"/>
  <c r="N288" i="1" s="1"/>
  <c r="M289" i="1"/>
  <c r="N289" i="1" s="1"/>
  <c r="M290" i="1"/>
  <c r="N290" i="1" s="1"/>
  <c r="M291" i="1"/>
  <c r="N291" i="1" s="1"/>
  <c r="M292" i="1"/>
  <c r="N292" i="1" s="1"/>
  <c r="M293" i="1"/>
  <c r="N293" i="1" s="1"/>
  <c r="M294" i="1"/>
  <c r="N294" i="1" s="1"/>
  <c r="M295" i="1"/>
  <c r="N295" i="1" s="1"/>
  <c r="M296" i="1"/>
  <c r="N296" i="1" s="1"/>
  <c r="M297" i="1"/>
  <c r="N297" i="1" s="1"/>
  <c r="M298" i="1"/>
  <c r="N298" i="1" s="1"/>
  <c r="M299" i="1"/>
  <c r="N299" i="1" s="1"/>
  <c r="M300" i="1"/>
  <c r="N300" i="1" s="1"/>
  <c r="M301" i="1"/>
  <c r="N301" i="1" s="1"/>
  <c r="M302" i="1"/>
  <c r="N302" i="1" s="1"/>
  <c r="M303" i="1"/>
  <c r="N303" i="1" s="1"/>
  <c r="M304" i="1"/>
  <c r="N304" i="1" s="1"/>
  <c r="M305" i="1"/>
  <c r="N305" i="1" s="1"/>
  <c r="M306" i="1"/>
  <c r="N306" i="1" s="1"/>
  <c r="M307" i="1"/>
  <c r="N307" i="1" s="1"/>
  <c r="M308" i="1"/>
  <c r="N308" i="1" s="1"/>
  <c r="M309" i="1"/>
  <c r="N309" i="1" s="1"/>
  <c r="M310" i="1"/>
  <c r="N310" i="1" s="1"/>
  <c r="M311" i="1"/>
  <c r="N311" i="1" s="1"/>
  <c r="M312" i="1"/>
  <c r="N312" i="1" s="1"/>
  <c r="M313" i="1"/>
  <c r="N313" i="1" s="1"/>
  <c r="M314" i="1"/>
  <c r="N314" i="1" s="1"/>
  <c r="M315" i="1"/>
  <c r="N315" i="1" s="1"/>
  <c r="M316" i="1"/>
  <c r="N316" i="1" s="1"/>
  <c r="M317" i="1"/>
  <c r="N317" i="1" s="1"/>
  <c r="M318" i="1"/>
  <c r="N318" i="1" s="1"/>
  <c r="M319" i="1"/>
  <c r="N319" i="1" s="1"/>
  <c r="M320" i="1"/>
  <c r="N320" i="1" s="1"/>
  <c r="M321" i="1"/>
  <c r="N321" i="1" s="1"/>
  <c r="M322" i="1"/>
  <c r="N322" i="1" s="1"/>
  <c r="M323" i="1"/>
  <c r="N323" i="1" s="1"/>
  <c r="M324" i="1"/>
  <c r="N324" i="1" s="1"/>
  <c r="M325" i="1"/>
  <c r="N325" i="1" s="1"/>
  <c r="M326" i="1"/>
  <c r="N326" i="1" s="1"/>
  <c r="M327" i="1"/>
  <c r="N327" i="1" s="1"/>
  <c r="M328" i="1"/>
  <c r="N328" i="1" s="1"/>
  <c r="M329" i="1"/>
  <c r="N329" i="1" s="1"/>
  <c r="M330" i="1"/>
  <c r="N330" i="1" s="1"/>
  <c r="M331" i="1"/>
  <c r="N331" i="1" s="1"/>
  <c r="M332" i="1"/>
  <c r="N332" i="1" s="1"/>
  <c r="M333" i="1"/>
  <c r="N333" i="1" s="1"/>
  <c r="M334" i="1"/>
  <c r="N334" i="1" s="1"/>
  <c r="M335" i="1"/>
  <c r="N335" i="1" s="1"/>
  <c r="M336" i="1"/>
  <c r="N336" i="1" s="1"/>
  <c r="M337" i="1"/>
  <c r="N337" i="1" s="1"/>
  <c r="M338" i="1"/>
  <c r="N338" i="1" s="1"/>
  <c r="M339" i="1"/>
  <c r="N339" i="1" s="1"/>
  <c r="M340" i="1"/>
  <c r="N340" i="1" s="1"/>
  <c r="M341" i="1"/>
  <c r="N341" i="1" s="1"/>
  <c r="M342" i="1"/>
  <c r="N342" i="1" s="1"/>
  <c r="M343" i="1"/>
  <c r="N343" i="1" s="1"/>
  <c r="M344" i="1"/>
  <c r="N344" i="1" s="1"/>
  <c r="M345" i="1"/>
  <c r="N345" i="1" s="1"/>
  <c r="M346" i="1"/>
  <c r="N346" i="1" s="1"/>
  <c r="M347" i="1"/>
  <c r="N347" i="1" s="1"/>
  <c r="M348" i="1"/>
  <c r="N348" i="1" s="1"/>
  <c r="M349" i="1"/>
  <c r="N349" i="1" s="1"/>
  <c r="M350" i="1"/>
  <c r="N350" i="1" s="1"/>
  <c r="M351" i="1"/>
  <c r="N351" i="1" s="1"/>
  <c r="M352" i="1"/>
  <c r="N352" i="1" s="1"/>
  <c r="M353" i="1"/>
  <c r="N353" i="1" s="1"/>
  <c r="M354" i="1"/>
  <c r="N354" i="1" s="1"/>
  <c r="M355" i="1"/>
  <c r="N355" i="1" s="1"/>
  <c r="M356" i="1"/>
  <c r="N356" i="1" s="1"/>
  <c r="M357" i="1"/>
  <c r="N357" i="1" s="1"/>
  <c r="M358" i="1"/>
  <c r="N358" i="1" s="1"/>
  <c r="M359" i="1"/>
  <c r="N359" i="1" s="1"/>
  <c r="M360" i="1"/>
  <c r="N360" i="1" s="1"/>
  <c r="M361" i="1"/>
  <c r="N361" i="1" s="1"/>
  <c r="M362" i="1"/>
  <c r="N362" i="1" s="1"/>
  <c r="M363" i="1"/>
  <c r="N363" i="1" s="1"/>
  <c r="M364" i="1"/>
  <c r="N364" i="1" s="1"/>
  <c r="M365" i="1"/>
  <c r="N365" i="1" s="1"/>
  <c r="M366" i="1"/>
  <c r="N366" i="1" s="1"/>
  <c r="M367" i="1"/>
  <c r="N367" i="1" s="1"/>
  <c r="M368" i="1"/>
  <c r="N368" i="1" s="1"/>
  <c r="M369" i="1"/>
  <c r="N369" i="1" s="1"/>
  <c r="M370" i="1"/>
  <c r="N370" i="1" s="1"/>
  <c r="M371" i="1"/>
  <c r="N371" i="1" s="1"/>
  <c r="M372" i="1"/>
  <c r="N372" i="1" s="1"/>
  <c r="M373" i="1"/>
  <c r="N373" i="1" s="1"/>
  <c r="M374" i="1"/>
  <c r="N374" i="1" s="1"/>
  <c r="M375" i="1"/>
  <c r="N375" i="1" s="1"/>
  <c r="M376" i="1"/>
  <c r="N376" i="1" s="1"/>
  <c r="M377" i="1"/>
  <c r="N377" i="1" s="1"/>
  <c r="M378" i="1"/>
  <c r="N378" i="1" s="1"/>
  <c r="M379" i="1"/>
  <c r="N379" i="1" s="1"/>
  <c r="M380" i="1"/>
  <c r="N380" i="1" s="1"/>
  <c r="M381" i="1"/>
  <c r="N381" i="1" s="1"/>
  <c r="M382" i="1"/>
  <c r="N382" i="1" s="1"/>
  <c r="M383" i="1"/>
  <c r="N383" i="1" s="1"/>
  <c r="M384" i="1"/>
  <c r="N384" i="1" s="1"/>
  <c r="M385" i="1"/>
  <c r="N385" i="1" s="1"/>
  <c r="M386" i="1"/>
  <c r="N386" i="1" s="1"/>
  <c r="M387" i="1"/>
  <c r="N387" i="1" s="1"/>
  <c r="M388" i="1"/>
  <c r="N388" i="1" s="1"/>
  <c r="M389" i="1"/>
  <c r="N389" i="1" s="1"/>
  <c r="M390" i="1"/>
  <c r="N390" i="1" s="1"/>
  <c r="M391" i="1"/>
  <c r="N391" i="1" s="1"/>
  <c r="M392" i="1"/>
  <c r="N392" i="1" s="1"/>
  <c r="M393" i="1"/>
  <c r="N393" i="1" s="1"/>
  <c r="M394" i="1"/>
  <c r="N394" i="1" s="1"/>
  <c r="M395" i="1"/>
  <c r="N395" i="1" s="1"/>
  <c r="M396" i="1"/>
  <c r="N396" i="1" s="1"/>
  <c r="M397" i="1"/>
  <c r="N397" i="1" s="1"/>
  <c r="M398" i="1"/>
  <c r="N398" i="1" s="1"/>
  <c r="M399" i="1"/>
  <c r="N399" i="1" s="1"/>
  <c r="M400" i="1"/>
  <c r="N400" i="1" s="1"/>
  <c r="M401" i="1"/>
  <c r="N401" i="1" s="1"/>
  <c r="Q16" i="1"/>
  <c r="Q17" i="1" s="1"/>
  <c r="Q22" i="1" l="1"/>
  <c r="Q23" i="1" s="1"/>
</calcChain>
</file>

<file path=xl/sharedStrings.xml><?xml version="1.0" encoding="utf-8"?>
<sst xmlns="http://schemas.openxmlformats.org/spreadsheetml/2006/main" count="31" uniqueCount="30">
  <si>
    <t>Income</t>
  </si>
  <si>
    <t>Limit</t>
  </si>
  <si>
    <t>Rating</t>
  </si>
  <si>
    <t>Cards</t>
  </si>
  <si>
    <t>Age</t>
  </si>
  <si>
    <t>Education</t>
  </si>
  <si>
    <t>Own</t>
  </si>
  <si>
    <t>Student</t>
  </si>
  <si>
    <t>Married</t>
  </si>
  <si>
    <t>Region</t>
  </si>
  <si>
    <t>alpha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</si>
  <si>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</si>
  <si>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</si>
  <si>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</si>
  <si>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</si>
  <si>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</si>
  <si>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</si>
  <si>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</si>
  <si>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</si>
  <si>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</si>
  <si>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</si>
  <si>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lambda</t>
  </si>
  <si>
    <t>sum of bj^2</t>
  </si>
  <si>
    <t>penalty</t>
  </si>
  <si>
    <t>y</t>
  </si>
  <si>
    <t>y hat</t>
  </si>
  <si>
    <t>abs</t>
  </si>
  <si>
    <t>error</t>
  </si>
  <si>
    <t>sum of error</t>
  </si>
  <si>
    <t>LASSO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</si>
</sst>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Segoe UI"/>
      <family val="2"/>
    </font>
    <font>
      <sz val="10"/>
      <color theme="1"/>
      <name val="Aptos Display"/>
      <family val="2"/>
      <scheme val="maj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33" borderId="0" xfId="0" applyFont="1" applyFill="1"/>
    <xf numFmtId="0" fontId="18" fillId="0" borderId="0" xfId="0" applyFont="1"/>
    <xf numFmtId="0" fontId="19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57618-A899-4C93-BDDA-ED8CB7B412B7}">
  <dimension ref="B1:Q402"/>
  <sheetViews>
    <sheetView tabSelected="1" zoomScaleNormal="100" workbookViewId="0">
      <selection activeCell="S11" sqref="S11"/>
    </sheetView>
  </sheetViews>
  <sheetFormatPr defaultRowHeight="14.4" x14ac:dyDescent="0.3"/>
  <cols>
    <col min="13" max="13" width="11.5546875" customWidth="1"/>
    <col min="14" max="14" width="12" bestFit="1" customWidth="1"/>
    <col min="17" max="17" width="12.21875" customWidth="1"/>
  </cols>
  <sheetData>
    <row r="1" spans="2:1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24</v>
      </c>
      <c r="M1" t="s">
        <v>25</v>
      </c>
      <c r="N1" t="s">
        <v>27</v>
      </c>
    </row>
    <row r="2" spans="2:17" x14ac:dyDescent="0.3">
      <c r="B2">
        <v>14.891</v>
      </c>
      <c r="C2">
        <v>3606</v>
      </c>
      <c r="D2">
        <v>283</v>
      </c>
      <c r="E2">
        <v>2</v>
      </c>
      <c r="F2">
        <v>34</v>
      </c>
      <c r="G2">
        <v>11</v>
      </c>
      <c r="H2">
        <v>0</v>
      </c>
      <c r="I2">
        <v>0</v>
      </c>
      <c r="J2">
        <v>1</v>
      </c>
      <c r="K2">
        <v>1</v>
      </c>
      <c r="L2">
        <v>333</v>
      </c>
      <c r="M2">
        <f>$Q$3+$Q$4*B2+$Q$5*C2+$Q$6*D2+$Q$7*E2+$Q$8*F2+$Q$9*G2+$Q$10*H2+$Q$11*I2+$Q$12*J2+$Q$13*K2</f>
        <v>532.21235203363995</v>
      </c>
      <c r="N2">
        <f>(L2-M2)^2</f>
        <v>39685.561202774887</v>
      </c>
    </row>
    <row r="3" spans="2:17" x14ac:dyDescent="0.3">
      <c r="B3">
        <v>106.02500000000001</v>
      </c>
      <c r="C3">
        <v>6645</v>
      </c>
      <c r="D3">
        <v>483</v>
      </c>
      <c r="E3">
        <v>3</v>
      </c>
      <c r="F3">
        <v>82</v>
      </c>
      <c r="G3">
        <v>15</v>
      </c>
      <c r="H3">
        <v>1</v>
      </c>
      <c r="I3">
        <v>1</v>
      </c>
      <c r="J3">
        <v>1</v>
      </c>
      <c r="K3">
        <v>2</v>
      </c>
      <c r="L3">
        <v>903</v>
      </c>
      <c r="M3">
        <f t="shared" ref="M3:M66" si="0">$Q$3+$Q$4*B3+$Q$5*C3+$Q$6*D3+$Q$7*E3+$Q$8*F3+$Q$9*G3+$Q$10*H3+$Q$11*I3+$Q$12*J3+$Q$13*K3</f>
        <v>752.94773210333074</v>
      </c>
      <c r="N3">
        <f t="shared" ref="N3:N66" si="1">(L3-M3)^2</f>
        <v>22515.683100933802</v>
      </c>
      <c r="P3" t="s">
        <v>10</v>
      </c>
      <c r="Q3" s="4">
        <v>-0.26327651078955683</v>
      </c>
    </row>
    <row r="4" spans="2:17" x14ac:dyDescent="0.3">
      <c r="B4">
        <v>104.593</v>
      </c>
      <c r="C4">
        <v>7075</v>
      </c>
      <c r="D4">
        <v>514</v>
      </c>
      <c r="E4">
        <v>4</v>
      </c>
      <c r="F4">
        <v>71</v>
      </c>
      <c r="G4">
        <v>11</v>
      </c>
      <c r="H4">
        <v>0</v>
      </c>
      <c r="I4">
        <v>0</v>
      </c>
      <c r="J4">
        <v>0</v>
      </c>
      <c r="K4">
        <v>2</v>
      </c>
      <c r="L4">
        <v>580</v>
      </c>
      <c r="M4">
        <f t="shared" si="0"/>
        <v>653.46398036151118</v>
      </c>
      <c r="N4">
        <f t="shared" si="1"/>
        <v>5396.9564105564996</v>
      </c>
      <c r="P4" t="s">
        <v>11</v>
      </c>
      <c r="Q4" s="4">
        <v>-7.1886866911563878</v>
      </c>
    </row>
    <row r="5" spans="2:17" x14ac:dyDescent="0.3">
      <c r="B5">
        <v>148.92400000000001</v>
      </c>
      <c r="C5">
        <v>9504</v>
      </c>
      <c r="D5">
        <v>681</v>
      </c>
      <c r="E5">
        <v>3</v>
      </c>
      <c r="F5">
        <v>36</v>
      </c>
      <c r="G5">
        <v>11</v>
      </c>
      <c r="H5">
        <v>1</v>
      </c>
      <c r="I5">
        <v>0</v>
      </c>
      <c r="J5">
        <v>0</v>
      </c>
      <c r="K5">
        <v>2</v>
      </c>
      <c r="L5">
        <v>964</v>
      </c>
      <c r="M5">
        <f t="shared" si="0"/>
        <v>1034.8456124010986</v>
      </c>
      <c r="N5">
        <f t="shared" si="1"/>
        <v>5019.1007964866967</v>
      </c>
      <c r="P5" t="s">
        <v>12</v>
      </c>
      <c r="Q5" s="4">
        <v>0.24877446854416913</v>
      </c>
    </row>
    <row r="6" spans="2:17" x14ac:dyDescent="0.3">
      <c r="B6">
        <v>55.881999999999998</v>
      </c>
      <c r="C6">
        <v>4897</v>
      </c>
      <c r="D6">
        <v>357</v>
      </c>
      <c r="E6">
        <v>2</v>
      </c>
      <c r="F6">
        <v>68</v>
      </c>
      <c r="G6">
        <v>16</v>
      </c>
      <c r="H6">
        <v>0</v>
      </c>
      <c r="I6">
        <v>0</v>
      </c>
      <c r="J6">
        <v>1</v>
      </c>
      <c r="K6">
        <v>1</v>
      </c>
      <c r="L6">
        <v>331</v>
      </c>
      <c r="M6">
        <f t="shared" si="0"/>
        <v>390.52908571476291</v>
      </c>
      <c r="N6">
        <f t="shared" si="1"/>
        <v>3543.71204603559</v>
      </c>
      <c r="P6" t="s">
        <v>13</v>
      </c>
      <c r="Q6" s="4">
        <v>1.0557028520479792E-2</v>
      </c>
    </row>
    <row r="7" spans="2:17" x14ac:dyDescent="0.3">
      <c r="B7">
        <v>80.180000000000007</v>
      </c>
      <c r="C7">
        <v>8047</v>
      </c>
      <c r="D7">
        <v>569</v>
      </c>
      <c r="E7">
        <v>4</v>
      </c>
      <c r="F7">
        <v>77</v>
      </c>
      <c r="G7">
        <v>10</v>
      </c>
      <c r="H7">
        <v>0</v>
      </c>
      <c r="I7">
        <v>0</v>
      </c>
      <c r="J7">
        <v>0</v>
      </c>
      <c r="K7">
        <v>1</v>
      </c>
      <c r="L7">
        <v>1151</v>
      </c>
      <c r="M7">
        <f t="shared" si="0"/>
        <v>1070.8171569374681</v>
      </c>
      <c r="N7">
        <f t="shared" si="1"/>
        <v>6429.2883215906204</v>
      </c>
      <c r="P7" t="s">
        <v>14</v>
      </c>
      <c r="Q7" s="4">
        <v>0.53935551816550797</v>
      </c>
    </row>
    <row r="8" spans="2:17" x14ac:dyDescent="0.3">
      <c r="B8">
        <v>20.995999999999999</v>
      </c>
      <c r="C8">
        <v>3388</v>
      </c>
      <c r="D8">
        <v>259</v>
      </c>
      <c r="E8">
        <v>2</v>
      </c>
      <c r="F8">
        <v>37</v>
      </c>
      <c r="G8">
        <v>12</v>
      </c>
      <c r="H8">
        <v>1</v>
      </c>
      <c r="I8">
        <v>0</v>
      </c>
      <c r="J8">
        <v>0</v>
      </c>
      <c r="K8">
        <v>0</v>
      </c>
      <c r="L8">
        <v>203</v>
      </c>
      <c r="M8">
        <f t="shared" si="0"/>
        <v>410.50034945129994</v>
      </c>
      <c r="N8">
        <f t="shared" si="1"/>
        <v>43056.395022411591</v>
      </c>
      <c r="P8" t="s">
        <v>15</v>
      </c>
      <c r="Q8" s="4">
        <v>-2.7058382773608995</v>
      </c>
    </row>
    <row r="9" spans="2:17" x14ac:dyDescent="0.3">
      <c r="B9">
        <v>71.408000000000001</v>
      </c>
      <c r="C9">
        <v>7114</v>
      </c>
      <c r="D9">
        <v>512</v>
      </c>
      <c r="E9">
        <v>2</v>
      </c>
      <c r="F9">
        <v>87</v>
      </c>
      <c r="G9">
        <v>9</v>
      </c>
      <c r="H9">
        <v>0</v>
      </c>
      <c r="I9">
        <v>0</v>
      </c>
      <c r="J9">
        <v>0</v>
      </c>
      <c r="K9">
        <v>2</v>
      </c>
      <c r="L9">
        <v>872</v>
      </c>
      <c r="M9">
        <f t="shared" si="0"/>
        <v>888.11446204259335</v>
      </c>
      <c r="N9">
        <f t="shared" si="1"/>
        <v>259.67588692218169</v>
      </c>
      <c r="P9" t="s">
        <v>16</v>
      </c>
      <c r="Q9" s="4">
        <v>-15.392473546490546</v>
      </c>
    </row>
    <row r="10" spans="2:17" x14ac:dyDescent="0.3">
      <c r="B10">
        <v>15.125</v>
      </c>
      <c r="C10">
        <v>3300</v>
      </c>
      <c r="D10">
        <v>266</v>
      </c>
      <c r="E10">
        <v>5</v>
      </c>
      <c r="F10">
        <v>66</v>
      </c>
      <c r="G10">
        <v>13</v>
      </c>
      <c r="H10">
        <v>1</v>
      </c>
      <c r="I10">
        <v>0</v>
      </c>
      <c r="J10">
        <v>0</v>
      </c>
      <c r="K10">
        <v>1</v>
      </c>
      <c r="L10">
        <v>279</v>
      </c>
      <c r="M10">
        <f t="shared" si="0"/>
        <v>338.33425343850331</v>
      </c>
      <c r="N10">
        <f t="shared" si="1"/>
        <v>3520.5536311045421</v>
      </c>
      <c r="P10" t="s">
        <v>17</v>
      </c>
      <c r="Q10" s="4">
        <v>-0.1378903009314762</v>
      </c>
    </row>
    <row r="11" spans="2:17" x14ac:dyDescent="0.3">
      <c r="B11">
        <v>71.061000000000007</v>
      </c>
      <c r="C11">
        <v>6819</v>
      </c>
      <c r="D11">
        <v>491</v>
      </c>
      <c r="E11">
        <v>3</v>
      </c>
      <c r="F11">
        <v>41</v>
      </c>
      <c r="G11">
        <v>19</v>
      </c>
      <c r="H11">
        <v>1</v>
      </c>
      <c r="I11">
        <v>1</v>
      </c>
      <c r="J11">
        <v>1</v>
      </c>
      <c r="K11">
        <v>0</v>
      </c>
      <c r="L11">
        <v>1350</v>
      </c>
      <c r="M11">
        <f t="shared" si="0"/>
        <v>1097.6514715313513</v>
      </c>
      <c r="N11">
        <f t="shared" si="1"/>
        <v>63679.779820292424</v>
      </c>
      <c r="P11" t="s">
        <v>18</v>
      </c>
      <c r="Q11" s="4">
        <v>309.08970816263491</v>
      </c>
    </row>
    <row r="12" spans="2:17" x14ac:dyDescent="0.3">
      <c r="B12">
        <v>63.094999999999999</v>
      </c>
      <c r="C12">
        <v>8117</v>
      </c>
      <c r="D12">
        <v>589</v>
      </c>
      <c r="E12">
        <v>4</v>
      </c>
      <c r="F12">
        <v>30</v>
      </c>
      <c r="G12">
        <v>14</v>
      </c>
      <c r="H12">
        <v>0</v>
      </c>
      <c r="I12">
        <v>0</v>
      </c>
      <c r="J12">
        <v>1</v>
      </c>
      <c r="K12">
        <v>1</v>
      </c>
      <c r="L12">
        <v>1407</v>
      </c>
      <c r="M12">
        <f t="shared" si="0"/>
        <v>1276.865620609454</v>
      </c>
      <c r="N12">
        <f t="shared" si="1"/>
        <v>16934.956699362556</v>
      </c>
      <c r="P12" t="s">
        <v>19</v>
      </c>
      <c r="Q12" s="4">
        <v>-1.0666492257703051E-4</v>
      </c>
    </row>
    <row r="13" spans="2:17" x14ac:dyDescent="0.3">
      <c r="B13">
        <v>15.045</v>
      </c>
      <c r="C13">
        <v>1311</v>
      </c>
      <c r="D13">
        <v>138</v>
      </c>
      <c r="E13">
        <v>3</v>
      </c>
      <c r="F13">
        <v>64</v>
      </c>
      <c r="G13">
        <v>16</v>
      </c>
      <c r="H13">
        <v>0</v>
      </c>
      <c r="I13">
        <v>0</v>
      </c>
      <c r="J13">
        <v>0</v>
      </c>
      <c r="K13">
        <v>1</v>
      </c>
      <c r="L13">
        <v>0</v>
      </c>
      <c r="M13">
        <f t="shared" si="0"/>
        <v>-198.96093403132753</v>
      </c>
      <c r="N13">
        <f t="shared" si="1"/>
        <v>39585.453270618265</v>
      </c>
      <c r="P13" t="s">
        <v>20</v>
      </c>
      <c r="Q13" s="4">
        <v>-0.30890450887223292</v>
      </c>
    </row>
    <row r="14" spans="2:17" x14ac:dyDescent="0.3">
      <c r="B14">
        <v>80.616</v>
      </c>
      <c r="C14">
        <v>5308</v>
      </c>
      <c r="D14">
        <v>394</v>
      </c>
      <c r="E14">
        <v>1</v>
      </c>
      <c r="F14">
        <v>57</v>
      </c>
      <c r="G14">
        <v>7</v>
      </c>
      <c r="H14">
        <v>1</v>
      </c>
      <c r="I14">
        <v>0</v>
      </c>
      <c r="J14">
        <v>1</v>
      </c>
      <c r="K14">
        <v>2</v>
      </c>
      <c r="L14">
        <v>204</v>
      </c>
      <c r="M14">
        <f t="shared" si="0"/>
        <v>482.67135836402781</v>
      </c>
      <c r="N14">
        <f t="shared" si="1"/>
        <v>77657.725972452419</v>
      </c>
    </row>
    <row r="15" spans="2:17" x14ac:dyDescent="0.3">
      <c r="B15">
        <v>43.682000000000002</v>
      </c>
      <c r="C15">
        <v>6922</v>
      </c>
      <c r="D15">
        <v>511</v>
      </c>
      <c r="E15">
        <v>1</v>
      </c>
      <c r="F15">
        <v>49</v>
      </c>
      <c r="G15">
        <v>9</v>
      </c>
      <c r="H15">
        <v>0</v>
      </c>
      <c r="I15">
        <v>0</v>
      </c>
      <c r="J15">
        <v>1</v>
      </c>
      <c r="K15">
        <v>1</v>
      </c>
      <c r="L15">
        <v>1081</v>
      </c>
      <c r="M15">
        <f t="shared" si="0"/>
        <v>1142.2440311180928</v>
      </c>
      <c r="N15">
        <f t="shared" si="1"/>
        <v>3750.8313475939235</v>
      </c>
      <c r="P15" t="s">
        <v>21</v>
      </c>
      <c r="Q15">
        <v>8000</v>
      </c>
    </row>
    <row r="16" spans="2:17" x14ac:dyDescent="0.3">
      <c r="B16">
        <v>19.143999999999998</v>
      </c>
      <c r="C16">
        <v>3291</v>
      </c>
      <c r="D16">
        <v>269</v>
      </c>
      <c r="E16">
        <v>2</v>
      </c>
      <c r="F16">
        <v>75</v>
      </c>
      <c r="G16">
        <v>13</v>
      </c>
      <c r="H16">
        <v>1</v>
      </c>
      <c r="I16">
        <v>0</v>
      </c>
      <c r="J16">
        <v>0</v>
      </c>
      <c r="K16">
        <v>0</v>
      </c>
      <c r="L16">
        <v>148</v>
      </c>
      <c r="M16">
        <f t="shared" si="0"/>
        <v>281.57391595353721</v>
      </c>
      <c r="N16">
        <f t="shared" si="1"/>
        <v>17841.991023162624</v>
      </c>
      <c r="P16" t="s">
        <v>22</v>
      </c>
      <c r="Q16">
        <f>Q4^2+Q5^2+Q6^2+Q7^2+Q8^2+Q9^2+Q10^2+Q11^2+Q12^2+Q13^2</f>
        <v>95832.842051373169</v>
      </c>
    </row>
    <row r="17" spans="2:17" x14ac:dyDescent="0.3">
      <c r="B17">
        <v>20.088999999999999</v>
      </c>
      <c r="C17">
        <v>2525</v>
      </c>
      <c r="D17">
        <v>200</v>
      </c>
      <c r="E17">
        <v>3</v>
      </c>
      <c r="F17">
        <v>57</v>
      </c>
      <c r="G17">
        <v>15</v>
      </c>
      <c r="H17">
        <v>1</v>
      </c>
      <c r="I17">
        <v>0</v>
      </c>
      <c r="J17">
        <v>1</v>
      </c>
      <c r="K17">
        <v>0</v>
      </c>
      <c r="L17">
        <v>0</v>
      </c>
      <c r="M17">
        <f t="shared" si="0"/>
        <v>101.95031991040577</v>
      </c>
      <c r="N17">
        <f t="shared" si="1"/>
        <v>10393.867729834079</v>
      </c>
      <c r="P17" t="s">
        <v>23</v>
      </c>
      <c r="Q17">
        <f>Q15*Q16</f>
        <v>766662736.41098535</v>
      </c>
    </row>
    <row r="18" spans="2:17" x14ac:dyDescent="0.3">
      <c r="B18">
        <v>53.597999999999999</v>
      </c>
      <c r="C18">
        <v>3714</v>
      </c>
      <c r="D18">
        <v>286</v>
      </c>
      <c r="E18">
        <v>3</v>
      </c>
      <c r="F18">
        <v>73</v>
      </c>
      <c r="G18">
        <v>17</v>
      </c>
      <c r="H18">
        <v>1</v>
      </c>
      <c r="I18">
        <v>0</v>
      </c>
      <c r="J18">
        <v>1</v>
      </c>
      <c r="K18">
        <v>0</v>
      </c>
      <c r="L18">
        <v>0</v>
      </c>
      <c r="M18">
        <f t="shared" si="0"/>
        <v>83.687005597469266</v>
      </c>
      <c r="N18">
        <f t="shared" si="1"/>
        <v>7003.5149058708521</v>
      </c>
    </row>
    <row r="19" spans="2:17" x14ac:dyDescent="0.3">
      <c r="B19">
        <v>36.496000000000002</v>
      </c>
      <c r="C19">
        <v>4378</v>
      </c>
      <c r="D19">
        <v>339</v>
      </c>
      <c r="E19">
        <v>3</v>
      </c>
      <c r="F19">
        <v>69</v>
      </c>
      <c r="G19">
        <v>15</v>
      </c>
      <c r="H19">
        <v>1</v>
      </c>
      <c r="I19">
        <v>0</v>
      </c>
      <c r="J19">
        <v>1</v>
      </c>
      <c r="K19">
        <v>2</v>
      </c>
      <c r="L19">
        <v>368</v>
      </c>
      <c r="M19">
        <f t="shared" si="0"/>
        <v>413.36418619921972</v>
      </c>
      <c r="N19">
        <f t="shared" si="1"/>
        <v>2057.9093895174765</v>
      </c>
      <c r="P19" t="s">
        <v>26</v>
      </c>
      <c r="Q19" s="3">
        <f>ABS(Q4)+ABS(Q5)+ABS(Q6)+ABS(Q7)+ABS(Q8)+ABS(Q9)+ABS(Q10)+ABS(Q11)+ABS(Q12)+ABS(Q13)</f>
        <v>335.62229516759913</v>
      </c>
    </row>
    <row r="20" spans="2:17" x14ac:dyDescent="0.3">
      <c r="B20">
        <v>49.57</v>
      </c>
      <c r="C20">
        <v>6384</v>
      </c>
      <c r="D20">
        <v>448</v>
      </c>
      <c r="E20">
        <v>1</v>
      </c>
      <c r="F20">
        <v>28</v>
      </c>
      <c r="G20">
        <v>9</v>
      </c>
      <c r="H20">
        <v>1</v>
      </c>
      <c r="I20">
        <v>0</v>
      </c>
      <c r="J20">
        <v>1</v>
      </c>
      <c r="K20">
        <v>2</v>
      </c>
      <c r="L20">
        <v>891</v>
      </c>
      <c r="M20">
        <f t="shared" si="0"/>
        <v>1021.7870960217858</v>
      </c>
      <c r="N20">
        <f t="shared" si="1"/>
        <v>17105.264485811826</v>
      </c>
      <c r="P20" t="s">
        <v>23</v>
      </c>
      <c r="Q20" s="5">
        <f>Q15*Q19</f>
        <v>2684978.3613407928</v>
      </c>
    </row>
    <row r="21" spans="2:17" x14ac:dyDescent="0.3">
      <c r="B21">
        <v>42.079000000000001</v>
      </c>
      <c r="C21">
        <v>6626</v>
      </c>
      <c r="D21">
        <v>479</v>
      </c>
      <c r="E21">
        <v>2</v>
      </c>
      <c r="F21">
        <v>44</v>
      </c>
      <c r="G21">
        <v>9</v>
      </c>
      <c r="H21">
        <v>0</v>
      </c>
      <c r="I21">
        <v>0</v>
      </c>
      <c r="J21">
        <v>0</v>
      </c>
      <c r="K21">
        <v>2</v>
      </c>
      <c r="L21">
        <v>1048</v>
      </c>
      <c r="M21">
        <f t="shared" si="0"/>
        <v>1093.552177343307</v>
      </c>
      <c r="N21">
        <f t="shared" si="1"/>
        <v>2075.0008607160912</v>
      </c>
      <c r="Q21" s="2"/>
    </row>
    <row r="22" spans="2:17" x14ac:dyDescent="0.3">
      <c r="B22">
        <v>17.7</v>
      </c>
      <c r="C22">
        <v>2860</v>
      </c>
      <c r="D22">
        <v>235</v>
      </c>
      <c r="E22">
        <v>4</v>
      </c>
      <c r="F22">
        <v>63</v>
      </c>
      <c r="G22">
        <v>16</v>
      </c>
      <c r="H22">
        <v>1</v>
      </c>
      <c r="I22">
        <v>0</v>
      </c>
      <c r="J22">
        <v>0</v>
      </c>
      <c r="K22">
        <v>2</v>
      </c>
      <c r="L22">
        <v>89</v>
      </c>
      <c r="M22">
        <f t="shared" si="0"/>
        <v>171.1271853307795</v>
      </c>
      <c r="N22">
        <f t="shared" si="1"/>
        <v>6744.8745703562026</v>
      </c>
      <c r="P22" t="s">
        <v>28</v>
      </c>
      <c r="Q22">
        <f>SUM(N:N)</f>
        <v>6383897.6445151344</v>
      </c>
    </row>
    <row r="23" spans="2:17" x14ac:dyDescent="0.3">
      <c r="B23">
        <v>37.347999999999999</v>
      </c>
      <c r="C23">
        <v>6378</v>
      </c>
      <c r="D23">
        <v>458</v>
      </c>
      <c r="E23">
        <v>1</v>
      </c>
      <c r="F23">
        <v>72</v>
      </c>
      <c r="G23">
        <v>17</v>
      </c>
      <c r="H23">
        <v>1</v>
      </c>
      <c r="I23">
        <v>0</v>
      </c>
      <c r="J23">
        <v>0</v>
      </c>
      <c r="K23">
        <v>1</v>
      </c>
      <c r="L23">
        <v>968</v>
      </c>
      <c r="M23">
        <f t="shared" si="0"/>
        <v>866.37248683302982</v>
      </c>
      <c r="N23">
        <f t="shared" si="1"/>
        <v>10328.151432502696</v>
      </c>
      <c r="P23" t="s">
        <v>29</v>
      </c>
      <c r="Q23">
        <f>Q22+Q20</f>
        <v>9068876.0058559272</v>
      </c>
    </row>
    <row r="24" spans="2:17" x14ac:dyDescent="0.3">
      <c r="B24">
        <v>20.103000000000002</v>
      </c>
      <c r="C24">
        <v>2631</v>
      </c>
      <c r="D24">
        <v>213</v>
      </c>
      <c r="E24">
        <v>3</v>
      </c>
      <c r="F24">
        <v>61</v>
      </c>
      <c r="G24">
        <v>10</v>
      </c>
      <c r="H24">
        <v>0</v>
      </c>
      <c r="I24">
        <v>0</v>
      </c>
      <c r="J24">
        <v>1</v>
      </c>
      <c r="K24">
        <v>0</v>
      </c>
      <c r="L24">
        <v>0</v>
      </c>
      <c r="M24">
        <f t="shared" si="0"/>
        <v>194.63391825711841</v>
      </c>
      <c r="N24">
        <f t="shared" si="1"/>
        <v>37882.362136118652</v>
      </c>
    </row>
    <row r="25" spans="2:17" x14ac:dyDescent="0.3">
      <c r="B25">
        <v>64.027000000000001</v>
      </c>
      <c r="C25">
        <v>5179</v>
      </c>
      <c r="D25">
        <v>398</v>
      </c>
      <c r="E25">
        <v>5</v>
      </c>
      <c r="F25">
        <v>48</v>
      </c>
      <c r="G25">
        <v>8</v>
      </c>
      <c r="H25">
        <v>0</v>
      </c>
      <c r="I25">
        <v>0</v>
      </c>
      <c r="J25">
        <v>1</v>
      </c>
      <c r="K25">
        <v>0</v>
      </c>
      <c r="L25">
        <v>411</v>
      </c>
      <c r="M25">
        <f t="shared" si="0"/>
        <v>581.74799589660074</v>
      </c>
      <c r="N25">
        <f t="shared" si="1"/>
        <v>29154.878102705585</v>
      </c>
    </row>
    <row r="26" spans="2:17" x14ac:dyDescent="0.3">
      <c r="B26">
        <v>10.742000000000001</v>
      </c>
      <c r="C26">
        <v>1757</v>
      </c>
      <c r="D26">
        <v>156</v>
      </c>
      <c r="E26">
        <v>3</v>
      </c>
      <c r="F26">
        <v>57</v>
      </c>
      <c r="G26">
        <v>15</v>
      </c>
      <c r="H26">
        <v>1</v>
      </c>
      <c r="I26">
        <v>0</v>
      </c>
      <c r="J26">
        <v>0</v>
      </c>
      <c r="K26">
        <v>1</v>
      </c>
      <c r="L26">
        <v>0</v>
      </c>
      <c r="M26">
        <f t="shared" si="0"/>
        <v>-22.689124528128065</v>
      </c>
      <c r="N26">
        <f t="shared" si="1"/>
        <v>514.79637185290255</v>
      </c>
    </row>
    <row r="27" spans="2:17" x14ac:dyDescent="0.3">
      <c r="B27">
        <v>14.09</v>
      </c>
      <c r="C27">
        <v>4323</v>
      </c>
      <c r="D27">
        <v>326</v>
      </c>
      <c r="E27">
        <v>5</v>
      </c>
      <c r="F27">
        <v>25</v>
      </c>
      <c r="G27">
        <v>16</v>
      </c>
      <c r="H27">
        <v>1</v>
      </c>
      <c r="I27">
        <v>0</v>
      </c>
      <c r="J27">
        <v>1</v>
      </c>
      <c r="K27">
        <v>0</v>
      </c>
      <c r="L27">
        <v>671</v>
      </c>
      <c r="M27">
        <f t="shared" si="0"/>
        <v>665.97499377203883</v>
      </c>
      <c r="N27">
        <f t="shared" si="1"/>
        <v>25.250687591048557</v>
      </c>
    </row>
    <row r="28" spans="2:17" x14ac:dyDescent="0.3">
      <c r="B28">
        <v>42.470999999999997</v>
      </c>
      <c r="C28">
        <v>3625</v>
      </c>
      <c r="D28">
        <v>289</v>
      </c>
      <c r="E28">
        <v>6</v>
      </c>
      <c r="F28">
        <v>44</v>
      </c>
      <c r="G28">
        <v>12</v>
      </c>
      <c r="H28">
        <v>1</v>
      </c>
      <c r="I28">
        <v>1</v>
      </c>
      <c r="J28">
        <v>0</v>
      </c>
      <c r="K28">
        <v>1</v>
      </c>
      <c r="L28">
        <v>654</v>
      </c>
      <c r="M28">
        <f t="shared" si="0"/>
        <v>607.39692044419724</v>
      </c>
      <c r="N28">
        <f t="shared" si="1"/>
        <v>2171.8470240844817</v>
      </c>
    </row>
    <row r="29" spans="2:17" x14ac:dyDescent="0.3">
      <c r="B29">
        <v>32.792999999999999</v>
      </c>
      <c r="C29">
        <v>4534</v>
      </c>
      <c r="D29">
        <v>333</v>
      </c>
      <c r="E29">
        <v>2</v>
      </c>
      <c r="F29">
        <v>44</v>
      </c>
      <c r="G29">
        <v>16</v>
      </c>
      <c r="H29">
        <v>0</v>
      </c>
      <c r="I29">
        <v>0</v>
      </c>
      <c r="J29">
        <v>0</v>
      </c>
      <c r="K29">
        <v>0</v>
      </c>
      <c r="L29">
        <v>467</v>
      </c>
      <c r="M29">
        <f t="shared" si="0"/>
        <v>531.19930179130415</v>
      </c>
      <c r="N29">
        <f t="shared" si="1"/>
        <v>4121.5503504909484</v>
      </c>
    </row>
    <row r="30" spans="2:17" x14ac:dyDescent="0.3">
      <c r="B30">
        <v>186.63399999999999</v>
      </c>
      <c r="C30">
        <v>13414</v>
      </c>
      <c r="D30">
        <v>949</v>
      </c>
      <c r="E30">
        <v>2</v>
      </c>
      <c r="F30">
        <v>41</v>
      </c>
      <c r="G30">
        <v>14</v>
      </c>
      <c r="H30">
        <v>1</v>
      </c>
      <c r="I30">
        <v>0</v>
      </c>
      <c r="J30">
        <v>1</v>
      </c>
      <c r="K30">
        <v>0</v>
      </c>
      <c r="L30">
        <v>1809</v>
      </c>
      <c r="M30">
        <f t="shared" si="0"/>
        <v>1679.6694277371612</v>
      </c>
      <c r="N30">
        <f t="shared" si="1"/>
        <v>16726.396921833373</v>
      </c>
    </row>
    <row r="31" spans="2:17" x14ac:dyDescent="0.3">
      <c r="B31">
        <v>26.812999999999999</v>
      </c>
      <c r="C31">
        <v>5611</v>
      </c>
      <c r="D31">
        <v>411</v>
      </c>
      <c r="E31">
        <v>4</v>
      </c>
      <c r="F31">
        <v>55</v>
      </c>
      <c r="G31">
        <v>16</v>
      </c>
      <c r="H31">
        <v>1</v>
      </c>
      <c r="I31">
        <v>0</v>
      </c>
      <c r="J31">
        <v>0</v>
      </c>
      <c r="K31">
        <v>1</v>
      </c>
      <c r="L31">
        <v>915</v>
      </c>
      <c r="M31">
        <f t="shared" si="0"/>
        <v>813.80889422664427</v>
      </c>
      <c r="N31">
        <f t="shared" si="1"/>
        <v>10239.639887634467</v>
      </c>
    </row>
    <row r="32" spans="2:17" x14ac:dyDescent="0.3">
      <c r="B32">
        <v>34.142000000000003</v>
      </c>
      <c r="C32">
        <v>5666</v>
      </c>
      <c r="D32">
        <v>413</v>
      </c>
      <c r="E32">
        <v>4</v>
      </c>
      <c r="F32">
        <v>47</v>
      </c>
      <c r="G32">
        <v>5</v>
      </c>
      <c r="H32">
        <v>1</v>
      </c>
      <c r="I32">
        <v>0</v>
      </c>
      <c r="J32">
        <v>1</v>
      </c>
      <c r="K32">
        <v>1</v>
      </c>
      <c r="L32">
        <v>863</v>
      </c>
      <c r="M32">
        <f t="shared" si="0"/>
        <v>965.79052785949</v>
      </c>
      <c r="N32">
        <f t="shared" si="1"/>
        <v>10565.892617632589</v>
      </c>
    </row>
    <row r="33" spans="2:14" x14ac:dyDescent="0.3">
      <c r="B33">
        <v>28.940999999999999</v>
      </c>
      <c r="C33">
        <v>2733</v>
      </c>
      <c r="D33">
        <v>210</v>
      </c>
      <c r="E33">
        <v>5</v>
      </c>
      <c r="F33">
        <v>43</v>
      </c>
      <c r="G33">
        <v>16</v>
      </c>
      <c r="H33">
        <v>0</v>
      </c>
      <c r="I33">
        <v>0</v>
      </c>
      <c r="J33">
        <v>1</v>
      </c>
      <c r="K33">
        <v>2</v>
      </c>
      <c r="L33">
        <v>0</v>
      </c>
      <c r="M33">
        <f t="shared" si="0"/>
        <v>113.25477971876154</v>
      </c>
      <c r="N33">
        <f t="shared" si="1"/>
        <v>12826.645129145199</v>
      </c>
    </row>
    <row r="34" spans="2:14" x14ac:dyDescent="0.3">
      <c r="B34">
        <v>134.18100000000001</v>
      </c>
      <c r="C34">
        <v>7838</v>
      </c>
      <c r="D34">
        <v>563</v>
      </c>
      <c r="E34">
        <v>2</v>
      </c>
      <c r="F34">
        <v>48</v>
      </c>
      <c r="G34">
        <v>13</v>
      </c>
      <c r="H34">
        <v>1</v>
      </c>
      <c r="I34">
        <v>0</v>
      </c>
      <c r="J34">
        <v>0</v>
      </c>
      <c r="K34">
        <v>1</v>
      </c>
      <c r="L34">
        <v>526</v>
      </c>
      <c r="M34">
        <f t="shared" si="0"/>
        <v>661.63896889820978</v>
      </c>
      <c r="N34">
        <f t="shared" si="1"/>
        <v>18397.929883769521</v>
      </c>
    </row>
    <row r="35" spans="2:14" x14ac:dyDescent="0.3">
      <c r="B35">
        <v>31.367000000000001</v>
      </c>
      <c r="C35">
        <v>1829</v>
      </c>
      <c r="D35">
        <v>162</v>
      </c>
      <c r="E35">
        <v>4</v>
      </c>
      <c r="F35">
        <v>30</v>
      </c>
      <c r="G35">
        <v>10</v>
      </c>
      <c r="H35">
        <v>0</v>
      </c>
      <c r="I35">
        <v>0</v>
      </c>
      <c r="J35">
        <v>1</v>
      </c>
      <c r="K35">
        <v>1</v>
      </c>
      <c r="L35">
        <v>0</v>
      </c>
      <c r="M35">
        <f t="shared" si="0"/>
        <v>-2.2835432515541449</v>
      </c>
      <c r="N35">
        <f t="shared" si="1"/>
        <v>5.2145697817184766</v>
      </c>
    </row>
    <row r="36" spans="2:14" x14ac:dyDescent="0.3">
      <c r="B36">
        <v>20.149999999999999</v>
      </c>
      <c r="C36">
        <v>2646</v>
      </c>
      <c r="D36">
        <v>199</v>
      </c>
      <c r="E36">
        <v>2</v>
      </c>
      <c r="F36">
        <v>25</v>
      </c>
      <c r="G36">
        <v>14</v>
      </c>
      <c r="H36">
        <v>1</v>
      </c>
      <c r="I36">
        <v>0</v>
      </c>
      <c r="J36">
        <v>1</v>
      </c>
      <c r="K36">
        <v>2</v>
      </c>
      <c r="L36">
        <v>0</v>
      </c>
      <c r="M36">
        <f t="shared" si="0"/>
        <v>232.42509757369862</v>
      </c>
      <c r="N36">
        <f t="shared" si="1"/>
        <v>54021.425982143322</v>
      </c>
    </row>
    <row r="37" spans="2:14" x14ac:dyDescent="0.3">
      <c r="B37">
        <v>23.35</v>
      </c>
      <c r="C37">
        <v>2558</v>
      </c>
      <c r="D37">
        <v>220</v>
      </c>
      <c r="E37">
        <v>3</v>
      </c>
      <c r="F37">
        <v>49</v>
      </c>
      <c r="G37">
        <v>12</v>
      </c>
      <c r="H37">
        <v>1</v>
      </c>
      <c r="I37">
        <v>1</v>
      </c>
      <c r="J37">
        <v>0</v>
      </c>
      <c r="K37">
        <v>1</v>
      </c>
      <c r="L37">
        <v>419</v>
      </c>
      <c r="M37">
        <f t="shared" si="0"/>
        <v>463.53374781995609</v>
      </c>
      <c r="N37">
        <f t="shared" si="1"/>
        <v>1983.2546948914439</v>
      </c>
    </row>
    <row r="38" spans="2:14" x14ac:dyDescent="0.3">
      <c r="B38">
        <v>62.412999999999997</v>
      </c>
      <c r="C38">
        <v>6457</v>
      </c>
      <c r="D38">
        <v>455</v>
      </c>
      <c r="E38">
        <v>2</v>
      </c>
      <c r="F38">
        <v>71</v>
      </c>
      <c r="G38">
        <v>11</v>
      </c>
      <c r="H38">
        <v>1</v>
      </c>
      <c r="I38">
        <v>0</v>
      </c>
      <c r="J38">
        <v>1</v>
      </c>
      <c r="K38">
        <v>1</v>
      </c>
      <c r="L38">
        <v>762</v>
      </c>
      <c r="M38">
        <f t="shared" si="0"/>
        <v>801.40949525816984</v>
      </c>
      <c r="N38">
        <f t="shared" si="1"/>
        <v>1553.1083165037112</v>
      </c>
    </row>
    <row r="39" spans="2:14" x14ac:dyDescent="0.3">
      <c r="B39">
        <v>30.007000000000001</v>
      </c>
      <c r="C39">
        <v>6481</v>
      </c>
      <c r="D39">
        <v>462</v>
      </c>
      <c r="E39">
        <v>2</v>
      </c>
      <c r="F39">
        <v>69</v>
      </c>
      <c r="G39">
        <v>9</v>
      </c>
      <c r="H39">
        <v>1</v>
      </c>
      <c r="I39">
        <v>0</v>
      </c>
      <c r="J39">
        <v>1</v>
      </c>
      <c r="K39">
        <v>1</v>
      </c>
      <c r="L39">
        <v>1093</v>
      </c>
      <c r="M39">
        <f t="shared" si="0"/>
        <v>1076.6071862641902</v>
      </c>
      <c r="N39">
        <f t="shared" si="1"/>
        <v>268.72434217695428</v>
      </c>
    </row>
    <row r="40" spans="2:14" x14ac:dyDescent="0.3">
      <c r="B40">
        <v>11.795</v>
      </c>
      <c r="C40">
        <v>3899</v>
      </c>
      <c r="D40">
        <v>300</v>
      </c>
      <c r="E40">
        <v>4</v>
      </c>
      <c r="F40">
        <v>25</v>
      </c>
      <c r="G40">
        <v>10</v>
      </c>
      <c r="H40">
        <v>1</v>
      </c>
      <c r="I40">
        <v>0</v>
      </c>
      <c r="J40">
        <v>0</v>
      </c>
      <c r="K40">
        <v>1</v>
      </c>
      <c r="L40">
        <v>531</v>
      </c>
      <c r="M40">
        <f t="shared" si="0"/>
        <v>668.22486024081059</v>
      </c>
      <c r="N40">
        <f t="shared" si="1"/>
        <v>18830.662268109998</v>
      </c>
    </row>
    <row r="41" spans="2:14" x14ac:dyDescent="0.3">
      <c r="B41">
        <v>13.647</v>
      </c>
      <c r="C41">
        <v>3461</v>
      </c>
      <c r="D41">
        <v>264</v>
      </c>
      <c r="E41">
        <v>4</v>
      </c>
      <c r="F41">
        <v>47</v>
      </c>
      <c r="G41">
        <v>14</v>
      </c>
      <c r="H41">
        <v>0</v>
      </c>
      <c r="I41">
        <v>0</v>
      </c>
      <c r="J41">
        <v>1</v>
      </c>
      <c r="K41">
        <v>1</v>
      </c>
      <c r="L41">
        <v>344</v>
      </c>
      <c r="M41">
        <f t="shared" si="0"/>
        <v>424.60758958781247</v>
      </c>
      <c r="N41">
        <f t="shared" si="1"/>
        <v>6497.5834991572137</v>
      </c>
    </row>
    <row r="42" spans="2:14" x14ac:dyDescent="0.3">
      <c r="B42">
        <v>34.950000000000003</v>
      </c>
      <c r="C42">
        <v>3327</v>
      </c>
      <c r="D42">
        <v>253</v>
      </c>
      <c r="E42">
        <v>3</v>
      </c>
      <c r="F42">
        <v>54</v>
      </c>
      <c r="G42">
        <v>14</v>
      </c>
      <c r="H42">
        <v>1</v>
      </c>
      <c r="I42">
        <v>0</v>
      </c>
      <c r="J42">
        <v>0</v>
      </c>
      <c r="K42">
        <v>0</v>
      </c>
      <c r="L42">
        <v>50</v>
      </c>
      <c r="M42">
        <f t="shared" si="0"/>
        <v>218.70598832063564</v>
      </c>
      <c r="N42">
        <f t="shared" si="1"/>
        <v>28461.710495242449</v>
      </c>
    </row>
    <row r="43" spans="2:14" x14ac:dyDescent="0.3">
      <c r="B43">
        <v>113.65900000000001</v>
      </c>
      <c r="C43">
        <v>7659</v>
      </c>
      <c r="D43">
        <v>538</v>
      </c>
      <c r="E43">
        <v>2</v>
      </c>
      <c r="F43">
        <v>66</v>
      </c>
      <c r="G43">
        <v>15</v>
      </c>
      <c r="H43">
        <v>0</v>
      </c>
      <c r="I43">
        <v>1</v>
      </c>
      <c r="J43">
        <v>1</v>
      </c>
      <c r="K43">
        <v>0</v>
      </c>
      <c r="L43">
        <v>1155</v>
      </c>
      <c r="M43">
        <f t="shared" si="0"/>
        <v>994.41700181374176</v>
      </c>
      <c r="N43">
        <f t="shared" si="1"/>
        <v>25786.899306487816</v>
      </c>
    </row>
    <row r="44" spans="2:14" x14ac:dyDescent="0.3">
      <c r="B44">
        <v>44.158000000000001</v>
      </c>
      <c r="C44">
        <v>4763</v>
      </c>
      <c r="D44">
        <v>351</v>
      </c>
      <c r="E44">
        <v>2</v>
      </c>
      <c r="F44">
        <v>66</v>
      </c>
      <c r="G44">
        <v>13</v>
      </c>
      <c r="H44">
        <v>1</v>
      </c>
      <c r="I44">
        <v>0</v>
      </c>
      <c r="J44">
        <v>1</v>
      </c>
      <c r="K44">
        <v>2</v>
      </c>
      <c r="L44">
        <v>385</v>
      </c>
      <c r="M44">
        <f t="shared" si="0"/>
        <v>492.55242991022862</v>
      </c>
      <c r="N44">
        <f t="shared" si="1"/>
        <v>11567.525179594641</v>
      </c>
    </row>
    <row r="45" spans="2:14" x14ac:dyDescent="0.3">
      <c r="B45">
        <v>36.929000000000002</v>
      </c>
      <c r="C45">
        <v>6257</v>
      </c>
      <c r="D45">
        <v>445</v>
      </c>
      <c r="E45">
        <v>1</v>
      </c>
      <c r="F45">
        <v>24</v>
      </c>
      <c r="G45">
        <v>14</v>
      </c>
      <c r="H45">
        <v>1</v>
      </c>
      <c r="I45">
        <v>0</v>
      </c>
      <c r="J45">
        <v>1</v>
      </c>
      <c r="K45">
        <v>2</v>
      </c>
      <c r="L45">
        <v>976</v>
      </c>
      <c r="M45">
        <f t="shared" si="0"/>
        <v>1014.8942412710139</v>
      </c>
      <c r="N45">
        <f t="shared" si="1"/>
        <v>1512.762004047843</v>
      </c>
    </row>
    <row r="46" spans="2:14" x14ac:dyDescent="0.3">
      <c r="B46">
        <v>31.861000000000001</v>
      </c>
      <c r="C46">
        <v>6375</v>
      </c>
      <c r="D46">
        <v>469</v>
      </c>
      <c r="E46">
        <v>3</v>
      </c>
      <c r="F46">
        <v>25</v>
      </c>
      <c r="G46">
        <v>16</v>
      </c>
      <c r="H46">
        <v>1</v>
      </c>
      <c r="I46">
        <v>0</v>
      </c>
      <c r="J46">
        <v>1</v>
      </c>
      <c r="K46">
        <v>1</v>
      </c>
      <c r="L46">
        <v>1120</v>
      </c>
      <c r="M46">
        <f t="shared" si="0"/>
        <v>1048.8320915693589</v>
      </c>
      <c r="N46">
        <f t="shared" si="1"/>
        <v>5064.8711903921158</v>
      </c>
    </row>
    <row r="47" spans="2:14" x14ac:dyDescent="0.3">
      <c r="B47">
        <v>77.38</v>
      </c>
      <c r="C47">
        <v>7569</v>
      </c>
      <c r="D47">
        <v>564</v>
      </c>
      <c r="E47">
        <v>3</v>
      </c>
      <c r="F47">
        <v>50</v>
      </c>
      <c r="G47">
        <v>12</v>
      </c>
      <c r="H47">
        <v>1</v>
      </c>
      <c r="I47">
        <v>0</v>
      </c>
      <c r="J47">
        <v>1</v>
      </c>
      <c r="K47">
        <v>1</v>
      </c>
      <c r="L47">
        <v>997</v>
      </c>
      <c r="M47">
        <f t="shared" si="0"/>
        <v>1013.5738324777348</v>
      </c>
      <c r="N47">
        <f t="shared" si="1"/>
        <v>274.69192300001532</v>
      </c>
    </row>
    <row r="48" spans="2:14" x14ac:dyDescent="0.3">
      <c r="B48">
        <v>19.530999999999999</v>
      </c>
      <c r="C48">
        <v>5043</v>
      </c>
      <c r="D48">
        <v>376</v>
      </c>
      <c r="E48">
        <v>2</v>
      </c>
      <c r="F48">
        <v>64</v>
      </c>
      <c r="G48">
        <v>16</v>
      </c>
      <c r="H48">
        <v>1</v>
      </c>
      <c r="I48">
        <v>1</v>
      </c>
      <c r="J48">
        <v>1</v>
      </c>
      <c r="K48">
        <v>2</v>
      </c>
      <c r="L48">
        <v>1241</v>
      </c>
      <c r="M48">
        <f t="shared" si="0"/>
        <v>1007.8329580366014</v>
      </c>
      <c r="N48">
        <f t="shared" si="1"/>
        <v>54366.869457961264</v>
      </c>
    </row>
    <row r="49" spans="2:14" x14ac:dyDescent="0.3">
      <c r="B49">
        <v>44.646000000000001</v>
      </c>
      <c r="C49">
        <v>4431</v>
      </c>
      <c r="D49">
        <v>320</v>
      </c>
      <c r="E49">
        <v>2</v>
      </c>
      <c r="F49">
        <v>49</v>
      </c>
      <c r="G49">
        <v>15</v>
      </c>
      <c r="H49">
        <v>0</v>
      </c>
      <c r="I49">
        <v>1</v>
      </c>
      <c r="J49">
        <v>1</v>
      </c>
      <c r="K49">
        <v>1</v>
      </c>
      <c r="L49">
        <v>797</v>
      </c>
      <c r="M49">
        <f t="shared" si="0"/>
        <v>730.87476595873807</v>
      </c>
      <c r="N49">
        <f t="shared" si="1"/>
        <v>4372.5465770116662</v>
      </c>
    </row>
    <row r="50" spans="2:14" x14ac:dyDescent="0.3">
      <c r="B50">
        <v>44.521999999999998</v>
      </c>
      <c r="C50">
        <v>2252</v>
      </c>
      <c r="D50">
        <v>205</v>
      </c>
      <c r="E50">
        <v>6</v>
      </c>
      <c r="F50">
        <v>72</v>
      </c>
      <c r="G50">
        <v>15</v>
      </c>
      <c r="H50">
        <v>0</v>
      </c>
      <c r="I50">
        <v>0</v>
      </c>
      <c r="J50">
        <v>1</v>
      </c>
      <c r="K50">
        <v>2</v>
      </c>
      <c r="L50">
        <v>0</v>
      </c>
      <c r="M50">
        <f t="shared" si="0"/>
        <v>-181.00293310730407</v>
      </c>
      <c r="N50">
        <f t="shared" si="1"/>
        <v>32762.061793447192</v>
      </c>
    </row>
    <row r="51" spans="2:14" x14ac:dyDescent="0.3">
      <c r="B51">
        <v>43.478999999999999</v>
      </c>
      <c r="C51">
        <v>4569</v>
      </c>
      <c r="D51">
        <v>354</v>
      </c>
      <c r="E51">
        <v>4</v>
      </c>
      <c r="F51">
        <v>49</v>
      </c>
      <c r="G51">
        <v>13</v>
      </c>
      <c r="H51">
        <v>0</v>
      </c>
      <c r="I51">
        <v>1</v>
      </c>
      <c r="J51">
        <v>1</v>
      </c>
      <c r="K51">
        <v>0</v>
      </c>
      <c r="L51">
        <v>902</v>
      </c>
      <c r="M51">
        <f t="shared" si="0"/>
        <v>806.12634159429365</v>
      </c>
      <c r="N51">
        <f t="shared" si="1"/>
        <v>9191.7583760940688</v>
      </c>
    </row>
    <row r="52" spans="2:14" x14ac:dyDescent="0.3">
      <c r="B52">
        <v>36.362000000000002</v>
      </c>
      <c r="C52">
        <v>5183</v>
      </c>
      <c r="D52">
        <v>376</v>
      </c>
      <c r="E52">
        <v>3</v>
      </c>
      <c r="F52">
        <v>49</v>
      </c>
      <c r="G52">
        <v>15</v>
      </c>
      <c r="H52">
        <v>0</v>
      </c>
      <c r="I52">
        <v>0</v>
      </c>
      <c r="J52">
        <v>1</v>
      </c>
      <c r="K52">
        <v>0</v>
      </c>
      <c r="L52">
        <v>654</v>
      </c>
      <c r="M52">
        <f t="shared" si="0"/>
        <v>669.85399231504277</v>
      </c>
      <c r="N52">
        <f t="shared" si="1"/>
        <v>251.34907232543534</v>
      </c>
    </row>
    <row r="53" spans="2:14" x14ac:dyDescent="0.3">
      <c r="B53">
        <v>39.704999999999998</v>
      </c>
      <c r="C53">
        <v>3969</v>
      </c>
      <c r="D53">
        <v>301</v>
      </c>
      <c r="E53">
        <v>2</v>
      </c>
      <c r="F53">
        <v>27</v>
      </c>
      <c r="G53">
        <v>20</v>
      </c>
      <c r="H53">
        <v>0</v>
      </c>
      <c r="I53">
        <v>0</v>
      </c>
      <c r="J53">
        <v>1</v>
      </c>
      <c r="K53">
        <v>0</v>
      </c>
      <c r="L53">
        <v>211</v>
      </c>
      <c r="M53">
        <f t="shared" si="0"/>
        <v>325.04494960617109</v>
      </c>
      <c r="N53">
        <f t="shared" si="1"/>
        <v>13006.250530674102</v>
      </c>
    </row>
    <row r="54" spans="2:14" x14ac:dyDescent="0.3">
      <c r="B54">
        <v>44.204999999999998</v>
      </c>
      <c r="C54">
        <v>5441</v>
      </c>
      <c r="D54">
        <v>394</v>
      </c>
      <c r="E54">
        <v>1</v>
      </c>
      <c r="F54">
        <v>32</v>
      </c>
      <c r="G54">
        <v>12</v>
      </c>
      <c r="H54">
        <v>0</v>
      </c>
      <c r="I54">
        <v>0</v>
      </c>
      <c r="J54">
        <v>1</v>
      </c>
      <c r="K54">
        <v>1</v>
      </c>
      <c r="L54">
        <v>607</v>
      </c>
      <c r="M54">
        <f t="shared" si="0"/>
        <v>768.63601780347096</v>
      </c>
      <c r="N54">
        <f t="shared" si="1"/>
        <v>26126.202251363982</v>
      </c>
    </row>
    <row r="55" spans="2:14" x14ac:dyDescent="0.3">
      <c r="B55">
        <v>16.303999999999998</v>
      </c>
      <c r="C55">
        <v>5466</v>
      </c>
      <c r="D55">
        <v>413</v>
      </c>
      <c r="E55">
        <v>4</v>
      </c>
      <c r="F55">
        <v>66</v>
      </c>
      <c r="G55">
        <v>10</v>
      </c>
      <c r="H55">
        <v>0</v>
      </c>
      <c r="I55">
        <v>0</v>
      </c>
      <c r="J55">
        <v>1</v>
      </c>
      <c r="K55">
        <v>2</v>
      </c>
      <c r="L55">
        <v>957</v>
      </c>
      <c r="M55">
        <f t="shared" si="0"/>
        <v>915.72311813725366</v>
      </c>
      <c r="N55">
        <f t="shared" si="1"/>
        <v>1703.7809763111175</v>
      </c>
    </row>
    <row r="56" spans="2:14" x14ac:dyDescent="0.3">
      <c r="B56">
        <v>15.333</v>
      </c>
      <c r="C56">
        <v>1499</v>
      </c>
      <c r="D56">
        <v>138</v>
      </c>
      <c r="E56">
        <v>2</v>
      </c>
      <c r="F56">
        <v>47</v>
      </c>
      <c r="G56">
        <v>9</v>
      </c>
      <c r="H56">
        <v>1</v>
      </c>
      <c r="I56">
        <v>0</v>
      </c>
      <c r="J56">
        <v>1</v>
      </c>
      <c r="K56">
        <v>2</v>
      </c>
      <c r="L56">
        <v>0</v>
      </c>
      <c r="M56">
        <f t="shared" si="0"/>
        <v>-1.5013671643994244</v>
      </c>
      <c r="N56">
        <f t="shared" si="1"/>
        <v>2.2541033623367683</v>
      </c>
    </row>
    <row r="57" spans="2:14" x14ac:dyDescent="0.3">
      <c r="B57">
        <v>32.915999999999997</v>
      </c>
      <c r="C57">
        <v>1786</v>
      </c>
      <c r="D57">
        <v>154</v>
      </c>
      <c r="E57">
        <v>2</v>
      </c>
      <c r="F57">
        <v>60</v>
      </c>
      <c r="G57">
        <v>8</v>
      </c>
      <c r="H57">
        <v>1</v>
      </c>
      <c r="I57">
        <v>0</v>
      </c>
      <c r="J57">
        <v>1</v>
      </c>
      <c r="K57">
        <v>2</v>
      </c>
      <c r="L57">
        <v>0</v>
      </c>
      <c r="M57">
        <f t="shared" si="0"/>
        <v>-76.116284385699117</v>
      </c>
      <c r="N57">
        <f t="shared" si="1"/>
        <v>5793.6887486846235</v>
      </c>
    </row>
    <row r="58" spans="2:14" x14ac:dyDescent="0.3">
      <c r="B58">
        <v>57.1</v>
      </c>
      <c r="C58">
        <v>4742</v>
      </c>
      <c r="D58">
        <v>372</v>
      </c>
      <c r="E58">
        <v>7</v>
      </c>
      <c r="F58">
        <v>79</v>
      </c>
      <c r="G58">
        <v>18</v>
      </c>
      <c r="H58">
        <v>1</v>
      </c>
      <c r="I58">
        <v>0</v>
      </c>
      <c r="J58">
        <v>1</v>
      </c>
      <c r="K58">
        <v>2</v>
      </c>
      <c r="L58">
        <v>379</v>
      </c>
      <c r="M58">
        <f t="shared" si="0"/>
        <v>285.07239276546829</v>
      </c>
      <c r="N58">
        <f t="shared" si="1"/>
        <v>8822.3954008044529</v>
      </c>
    </row>
    <row r="59" spans="2:14" x14ac:dyDescent="0.3">
      <c r="B59">
        <v>76.272999999999996</v>
      </c>
      <c r="C59">
        <v>4779</v>
      </c>
      <c r="D59">
        <v>367</v>
      </c>
      <c r="E59">
        <v>4</v>
      </c>
      <c r="F59">
        <v>65</v>
      </c>
      <c r="G59">
        <v>14</v>
      </c>
      <c r="H59">
        <v>1</v>
      </c>
      <c r="I59">
        <v>0</v>
      </c>
      <c r="J59">
        <v>1</v>
      </c>
      <c r="K59">
        <v>1</v>
      </c>
      <c r="L59">
        <v>133</v>
      </c>
      <c r="M59">
        <f t="shared" si="0"/>
        <v>254.53804105284922</v>
      </c>
      <c r="N59">
        <f t="shared" si="1"/>
        <v>14771.495422964063</v>
      </c>
    </row>
    <row r="60" spans="2:14" x14ac:dyDescent="0.3">
      <c r="B60">
        <v>10.353999999999999</v>
      </c>
      <c r="C60">
        <v>3480</v>
      </c>
      <c r="D60">
        <v>281</v>
      </c>
      <c r="E60">
        <v>2</v>
      </c>
      <c r="F60">
        <v>70</v>
      </c>
      <c r="G60">
        <v>17</v>
      </c>
      <c r="H60">
        <v>0</v>
      </c>
      <c r="I60">
        <v>0</v>
      </c>
      <c r="J60">
        <v>1</v>
      </c>
      <c r="K60">
        <v>1</v>
      </c>
      <c r="L60">
        <v>333</v>
      </c>
      <c r="M60">
        <f t="shared" si="0"/>
        <v>343.69570719387451</v>
      </c>
      <c r="N60">
        <f t="shared" si="1"/>
        <v>114.39815237709898</v>
      </c>
    </row>
    <row r="61" spans="2:14" x14ac:dyDescent="0.3">
      <c r="B61">
        <v>51.872</v>
      </c>
      <c r="C61">
        <v>5294</v>
      </c>
      <c r="D61">
        <v>390</v>
      </c>
      <c r="E61">
        <v>4</v>
      </c>
      <c r="F61">
        <v>81</v>
      </c>
      <c r="G61">
        <v>17</v>
      </c>
      <c r="H61">
        <v>1</v>
      </c>
      <c r="I61">
        <v>0</v>
      </c>
      <c r="J61">
        <v>0</v>
      </c>
      <c r="K61">
        <v>1</v>
      </c>
      <c r="L61">
        <v>531</v>
      </c>
      <c r="M61">
        <f t="shared" si="0"/>
        <v>468.84012154765094</v>
      </c>
      <c r="N61">
        <f t="shared" si="1"/>
        <v>3863.8504892108094</v>
      </c>
    </row>
    <row r="62" spans="2:14" x14ac:dyDescent="0.3">
      <c r="B62">
        <v>35.51</v>
      </c>
      <c r="C62">
        <v>5198</v>
      </c>
      <c r="D62">
        <v>364</v>
      </c>
      <c r="E62">
        <v>2</v>
      </c>
      <c r="F62">
        <v>35</v>
      </c>
      <c r="G62">
        <v>20</v>
      </c>
      <c r="H62">
        <v>1</v>
      </c>
      <c r="I62">
        <v>0</v>
      </c>
      <c r="J62">
        <v>0</v>
      </c>
      <c r="K62">
        <v>2</v>
      </c>
      <c r="L62">
        <v>631</v>
      </c>
      <c r="M62">
        <f t="shared" si="0"/>
        <v>639.20810604050541</v>
      </c>
      <c r="N62">
        <f t="shared" si="1"/>
        <v>67.373004772181446</v>
      </c>
    </row>
    <row r="63" spans="2:14" x14ac:dyDescent="0.3">
      <c r="B63">
        <v>21.238</v>
      </c>
      <c r="C63">
        <v>3089</v>
      </c>
      <c r="D63">
        <v>254</v>
      </c>
      <c r="E63">
        <v>3</v>
      </c>
      <c r="F63">
        <v>59</v>
      </c>
      <c r="G63">
        <v>10</v>
      </c>
      <c r="H63">
        <v>1</v>
      </c>
      <c r="I63">
        <v>0</v>
      </c>
      <c r="J63">
        <v>0</v>
      </c>
      <c r="K63">
        <v>1</v>
      </c>
      <c r="L63">
        <v>108</v>
      </c>
      <c r="M63">
        <f t="shared" si="0"/>
        <v>305.81129203506566</v>
      </c>
      <c r="N63">
        <f t="shared" si="1"/>
        <v>39129.307256582033</v>
      </c>
    </row>
    <row r="64" spans="2:14" x14ac:dyDescent="0.3">
      <c r="B64">
        <v>30.681999999999999</v>
      </c>
      <c r="C64">
        <v>1671</v>
      </c>
      <c r="D64">
        <v>160</v>
      </c>
      <c r="E64">
        <v>2</v>
      </c>
      <c r="F64">
        <v>77</v>
      </c>
      <c r="G64">
        <v>7</v>
      </c>
      <c r="H64">
        <v>1</v>
      </c>
      <c r="I64">
        <v>0</v>
      </c>
      <c r="J64">
        <v>0</v>
      </c>
      <c r="K64">
        <v>1</v>
      </c>
      <c r="L64">
        <v>0</v>
      </c>
      <c r="M64">
        <f t="shared" si="0"/>
        <v>-118.90024602396223</v>
      </c>
      <c r="N64">
        <f t="shared" si="1"/>
        <v>14137.268504558744</v>
      </c>
    </row>
    <row r="65" spans="2:14" x14ac:dyDescent="0.3">
      <c r="B65">
        <v>14.132</v>
      </c>
      <c r="C65">
        <v>2998</v>
      </c>
      <c r="D65">
        <v>251</v>
      </c>
      <c r="E65">
        <v>4</v>
      </c>
      <c r="F65">
        <v>75</v>
      </c>
      <c r="G65">
        <v>17</v>
      </c>
      <c r="H65">
        <v>0</v>
      </c>
      <c r="I65">
        <v>0</v>
      </c>
      <c r="J65">
        <v>0</v>
      </c>
      <c r="K65">
        <v>1</v>
      </c>
      <c r="L65">
        <v>133</v>
      </c>
      <c r="M65">
        <f t="shared" si="0"/>
        <v>183.86047049523089</v>
      </c>
      <c r="N65">
        <f t="shared" si="1"/>
        <v>2586.7874589962512</v>
      </c>
    </row>
    <row r="66" spans="2:14" x14ac:dyDescent="0.3">
      <c r="B66">
        <v>32.164000000000001</v>
      </c>
      <c r="C66">
        <v>2937</v>
      </c>
      <c r="D66">
        <v>223</v>
      </c>
      <c r="E66">
        <v>2</v>
      </c>
      <c r="F66">
        <v>79</v>
      </c>
      <c r="G66">
        <v>15</v>
      </c>
      <c r="H66">
        <v>1</v>
      </c>
      <c r="I66">
        <v>0</v>
      </c>
      <c r="J66">
        <v>1</v>
      </c>
      <c r="K66">
        <v>0</v>
      </c>
      <c r="L66">
        <v>0</v>
      </c>
      <c r="M66">
        <f t="shared" si="0"/>
        <v>57.81702319075584</v>
      </c>
      <c r="N66">
        <f t="shared" si="1"/>
        <v>3342.8081706403987</v>
      </c>
    </row>
    <row r="67" spans="2:14" x14ac:dyDescent="0.3">
      <c r="B67">
        <v>12</v>
      </c>
      <c r="C67">
        <v>4160</v>
      </c>
      <c r="D67">
        <v>320</v>
      </c>
      <c r="E67">
        <v>4</v>
      </c>
      <c r="F67">
        <v>28</v>
      </c>
      <c r="G67">
        <v>14</v>
      </c>
      <c r="H67">
        <v>1</v>
      </c>
      <c r="I67">
        <v>0</v>
      </c>
      <c r="J67">
        <v>1</v>
      </c>
      <c r="K67">
        <v>1</v>
      </c>
      <c r="L67">
        <v>602</v>
      </c>
      <c r="M67">
        <f t="shared" ref="M67:M130" si="2">$Q$3+$Q$4*B67+$Q$5*C67+$Q$6*D67+$Q$7*E67+$Q$8*F67+$Q$9*G67+$Q$10*H67+$Q$11*I67+$Q$12*J67+$Q$13*K67</f>
        <v>662.20494064659374</v>
      </c>
      <c r="N67">
        <f t="shared" ref="N67:N130" si="3">(L67-M67)^2</f>
        <v>3624.6348782598752</v>
      </c>
    </row>
    <row r="68" spans="2:14" x14ac:dyDescent="0.3">
      <c r="B68">
        <v>113.82899999999999</v>
      </c>
      <c r="C68">
        <v>9704</v>
      </c>
      <c r="D68">
        <v>694</v>
      </c>
      <c r="E68">
        <v>4</v>
      </c>
      <c r="F68">
        <v>38</v>
      </c>
      <c r="G68">
        <v>13</v>
      </c>
      <c r="H68">
        <v>1</v>
      </c>
      <c r="I68">
        <v>0</v>
      </c>
      <c r="J68">
        <v>1</v>
      </c>
      <c r="K68">
        <v>2</v>
      </c>
      <c r="L68">
        <v>1388</v>
      </c>
      <c r="M68">
        <f t="shared" si="2"/>
        <v>1301.3673321123722</v>
      </c>
      <c r="N68">
        <f t="shared" si="3"/>
        <v>7505.2191453280175</v>
      </c>
    </row>
    <row r="69" spans="2:14" x14ac:dyDescent="0.3">
      <c r="B69">
        <v>11.186999999999999</v>
      </c>
      <c r="C69">
        <v>5099</v>
      </c>
      <c r="D69">
        <v>380</v>
      </c>
      <c r="E69">
        <v>4</v>
      </c>
      <c r="F69">
        <v>69</v>
      </c>
      <c r="G69">
        <v>16</v>
      </c>
      <c r="H69">
        <v>1</v>
      </c>
      <c r="I69">
        <v>0</v>
      </c>
      <c r="J69">
        <v>0</v>
      </c>
      <c r="K69">
        <v>0</v>
      </c>
      <c r="L69">
        <v>889</v>
      </c>
      <c r="M69">
        <f t="shared" si="2"/>
        <v>760.86668530972429</v>
      </c>
      <c r="N69">
        <f t="shared" si="3"/>
        <v>16418.146333517227</v>
      </c>
    </row>
    <row r="70" spans="2:14" x14ac:dyDescent="0.3">
      <c r="B70">
        <v>27.847000000000001</v>
      </c>
      <c r="C70">
        <v>5619</v>
      </c>
      <c r="D70">
        <v>418</v>
      </c>
      <c r="E70">
        <v>2</v>
      </c>
      <c r="F70">
        <v>78</v>
      </c>
      <c r="G70">
        <v>15</v>
      </c>
      <c r="H70">
        <v>1</v>
      </c>
      <c r="I70">
        <v>0</v>
      </c>
      <c r="J70">
        <v>1</v>
      </c>
      <c r="K70">
        <v>1</v>
      </c>
      <c r="L70">
        <v>822</v>
      </c>
      <c r="M70">
        <f t="shared" si="2"/>
        <v>760.5192626019217</v>
      </c>
      <c r="N70">
        <f t="shared" si="3"/>
        <v>3779.881071011464</v>
      </c>
    </row>
    <row r="71" spans="2:14" x14ac:dyDescent="0.3">
      <c r="B71">
        <v>49.502000000000002</v>
      </c>
      <c r="C71">
        <v>6819</v>
      </c>
      <c r="D71">
        <v>505</v>
      </c>
      <c r="E71">
        <v>4</v>
      </c>
      <c r="F71">
        <v>55</v>
      </c>
      <c r="G71">
        <v>14</v>
      </c>
      <c r="H71">
        <v>0</v>
      </c>
      <c r="I71">
        <v>0</v>
      </c>
      <c r="J71">
        <v>1</v>
      </c>
      <c r="K71">
        <v>1</v>
      </c>
      <c r="L71">
        <v>1084</v>
      </c>
      <c r="M71">
        <f t="shared" si="2"/>
        <v>983.13943130226846</v>
      </c>
      <c r="N71">
        <f t="shared" si="3"/>
        <v>10172.854318029822</v>
      </c>
    </row>
    <row r="72" spans="2:14" x14ac:dyDescent="0.3">
      <c r="B72">
        <v>24.888999999999999</v>
      </c>
      <c r="C72">
        <v>3954</v>
      </c>
      <c r="D72">
        <v>318</v>
      </c>
      <c r="E72">
        <v>4</v>
      </c>
      <c r="F72">
        <v>75</v>
      </c>
      <c r="G72">
        <v>12</v>
      </c>
      <c r="H72">
        <v>0</v>
      </c>
      <c r="I72">
        <v>0</v>
      </c>
      <c r="J72">
        <v>1</v>
      </c>
      <c r="K72">
        <v>1</v>
      </c>
      <c r="L72">
        <v>357</v>
      </c>
      <c r="M72">
        <f t="shared" si="2"/>
        <v>422.02974166508966</v>
      </c>
      <c r="N72">
        <f t="shared" si="3"/>
        <v>4228.8673010282982</v>
      </c>
    </row>
    <row r="73" spans="2:14" x14ac:dyDescent="0.3">
      <c r="B73">
        <v>58.780999999999999</v>
      </c>
      <c r="C73">
        <v>7402</v>
      </c>
      <c r="D73">
        <v>538</v>
      </c>
      <c r="E73">
        <v>2</v>
      </c>
      <c r="F73">
        <v>81</v>
      </c>
      <c r="G73">
        <v>12</v>
      </c>
      <c r="H73">
        <v>1</v>
      </c>
      <c r="I73">
        <v>0</v>
      </c>
      <c r="J73">
        <v>1</v>
      </c>
      <c r="K73">
        <v>2</v>
      </c>
      <c r="L73">
        <v>1103</v>
      </c>
      <c r="M73">
        <f t="shared" si="2"/>
        <v>1020.7271506329178</v>
      </c>
      <c r="N73">
        <f t="shared" si="3"/>
        <v>6768.8217429786055</v>
      </c>
    </row>
    <row r="74" spans="2:14" x14ac:dyDescent="0.3">
      <c r="B74">
        <v>22.939</v>
      </c>
      <c r="C74">
        <v>4923</v>
      </c>
      <c r="D74">
        <v>355</v>
      </c>
      <c r="E74">
        <v>1</v>
      </c>
      <c r="F74">
        <v>47</v>
      </c>
      <c r="G74">
        <v>18</v>
      </c>
      <c r="H74">
        <v>1</v>
      </c>
      <c r="I74">
        <v>0</v>
      </c>
      <c r="J74">
        <v>1</v>
      </c>
      <c r="K74">
        <v>2</v>
      </c>
      <c r="L74">
        <v>663</v>
      </c>
      <c r="M74">
        <f t="shared" si="2"/>
        <v>658.84451991026401</v>
      </c>
      <c r="N74">
        <f t="shared" si="3"/>
        <v>17.268014776192217</v>
      </c>
    </row>
    <row r="75" spans="2:14" x14ac:dyDescent="0.3">
      <c r="B75">
        <v>23.989000000000001</v>
      </c>
      <c r="C75">
        <v>4523</v>
      </c>
      <c r="D75">
        <v>338</v>
      </c>
      <c r="E75">
        <v>4</v>
      </c>
      <c r="F75">
        <v>31</v>
      </c>
      <c r="G75">
        <v>15</v>
      </c>
      <c r="H75">
        <v>0</v>
      </c>
      <c r="I75">
        <v>0</v>
      </c>
      <c r="J75">
        <v>0</v>
      </c>
      <c r="K75">
        <v>1</v>
      </c>
      <c r="L75">
        <v>601</v>
      </c>
      <c r="M75">
        <f t="shared" si="2"/>
        <v>643.14294308850276</v>
      </c>
      <c r="N75">
        <f t="shared" si="3"/>
        <v>1776.0276521607827</v>
      </c>
    </row>
    <row r="76" spans="2:14" x14ac:dyDescent="0.3">
      <c r="B76">
        <v>16.103000000000002</v>
      </c>
      <c r="C76">
        <v>5390</v>
      </c>
      <c r="D76">
        <v>418</v>
      </c>
      <c r="E76">
        <v>4</v>
      </c>
      <c r="F76">
        <v>45</v>
      </c>
      <c r="G76">
        <v>10</v>
      </c>
      <c r="H76">
        <v>1</v>
      </c>
      <c r="I76">
        <v>0</v>
      </c>
      <c r="J76">
        <v>1</v>
      </c>
      <c r="K76">
        <v>1</v>
      </c>
      <c r="L76">
        <v>945</v>
      </c>
      <c r="M76">
        <f t="shared" si="2"/>
        <v>955.30758772794115</v>
      </c>
      <c r="N76">
        <f t="shared" si="3"/>
        <v>106.24636476920308</v>
      </c>
    </row>
    <row r="77" spans="2:14" x14ac:dyDescent="0.3">
      <c r="B77">
        <v>33.017000000000003</v>
      </c>
      <c r="C77">
        <v>3180</v>
      </c>
      <c r="D77">
        <v>224</v>
      </c>
      <c r="E77">
        <v>2</v>
      </c>
      <c r="F77">
        <v>28</v>
      </c>
      <c r="G77">
        <v>16</v>
      </c>
      <c r="H77">
        <v>0</v>
      </c>
      <c r="I77">
        <v>0</v>
      </c>
      <c r="J77">
        <v>1</v>
      </c>
      <c r="K77">
        <v>0</v>
      </c>
      <c r="L77">
        <v>29</v>
      </c>
      <c r="M77">
        <f t="shared" si="2"/>
        <v>234.89099522779972</v>
      </c>
      <c r="N77">
        <f t="shared" si="3"/>
        <v>42391.101915893851</v>
      </c>
    </row>
    <row r="78" spans="2:14" x14ac:dyDescent="0.3">
      <c r="B78">
        <v>30.622</v>
      </c>
      <c r="C78">
        <v>3293</v>
      </c>
      <c r="D78">
        <v>251</v>
      </c>
      <c r="E78">
        <v>1</v>
      </c>
      <c r="F78">
        <v>68</v>
      </c>
      <c r="G78">
        <v>16</v>
      </c>
      <c r="H78">
        <v>0</v>
      </c>
      <c r="I78">
        <v>1</v>
      </c>
      <c r="J78">
        <v>0</v>
      </c>
      <c r="K78">
        <v>1</v>
      </c>
      <c r="L78">
        <v>532</v>
      </c>
      <c r="M78">
        <f t="shared" si="2"/>
        <v>480.51247827474725</v>
      </c>
      <c r="N78">
        <f t="shared" si="3"/>
        <v>2650.9648934083739</v>
      </c>
    </row>
    <row r="79" spans="2:14" x14ac:dyDescent="0.3">
      <c r="B79">
        <v>20.936</v>
      </c>
      <c r="C79">
        <v>3254</v>
      </c>
      <c r="D79">
        <v>253</v>
      </c>
      <c r="E79">
        <v>1</v>
      </c>
      <c r="F79">
        <v>30</v>
      </c>
      <c r="G79">
        <v>15</v>
      </c>
      <c r="H79">
        <v>1</v>
      </c>
      <c r="I79">
        <v>0</v>
      </c>
      <c r="J79">
        <v>0</v>
      </c>
      <c r="K79">
        <v>2</v>
      </c>
      <c r="L79">
        <v>145</v>
      </c>
      <c r="M79">
        <f t="shared" si="2"/>
        <v>349.13883246287241</v>
      </c>
      <c r="N79">
        <f t="shared" si="3"/>
        <v>41672.66291930469</v>
      </c>
    </row>
    <row r="80" spans="2:14" x14ac:dyDescent="0.3">
      <c r="B80">
        <v>110.968</v>
      </c>
      <c r="C80">
        <v>6662</v>
      </c>
      <c r="D80">
        <v>468</v>
      </c>
      <c r="E80">
        <v>3</v>
      </c>
      <c r="F80">
        <v>45</v>
      </c>
      <c r="G80">
        <v>11</v>
      </c>
      <c r="H80">
        <v>1</v>
      </c>
      <c r="I80">
        <v>0</v>
      </c>
      <c r="J80">
        <v>1</v>
      </c>
      <c r="K80">
        <v>1</v>
      </c>
      <c r="L80">
        <v>391</v>
      </c>
      <c r="M80">
        <f t="shared" si="2"/>
        <v>574.38997112094137</v>
      </c>
      <c r="N80">
        <f t="shared" si="3"/>
        <v>33631.881507739708</v>
      </c>
    </row>
    <row r="81" spans="2:14" x14ac:dyDescent="0.3">
      <c r="B81">
        <v>15.353999999999999</v>
      </c>
      <c r="C81">
        <v>2101</v>
      </c>
      <c r="D81">
        <v>171</v>
      </c>
      <c r="E81">
        <v>2</v>
      </c>
      <c r="F81">
        <v>65</v>
      </c>
      <c r="G81">
        <v>14</v>
      </c>
      <c r="H81">
        <v>0</v>
      </c>
      <c r="I81">
        <v>0</v>
      </c>
      <c r="J81">
        <v>0</v>
      </c>
      <c r="K81">
        <v>2</v>
      </c>
      <c r="L81">
        <v>0</v>
      </c>
      <c r="M81">
        <f t="shared" si="2"/>
        <v>22.928822660757103</v>
      </c>
      <c r="N81">
        <f t="shared" si="3"/>
        <v>525.73090860844843</v>
      </c>
    </row>
    <row r="82" spans="2:14" x14ac:dyDescent="0.3">
      <c r="B82">
        <v>27.369</v>
      </c>
      <c r="C82">
        <v>3449</v>
      </c>
      <c r="D82">
        <v>288</v>
      </c>
      <c r="E82">
        <v>3</v>
      </c>
      <c r="F82">
        <v>40</v>
      </c>
      <c r="G82">
        <v>9</v>
      </c>
      <c r="H82">
        <v>1</v>
      </c>
      <c r="I82">
        <v>0</v>
      </c>
      <c r="J82">
        <v>1</v>
      </c>
      <c r="K82">
        <v>1</v>
      </c>
      <c r="L82">
        <v>162</v>
      </c>
      <c r="M82">
        <f t="shared" si="2"/>
        <v>418.45849572860806</v>
      </c>
      <c r="N82">
        <f t="shared" si="3"/>
        <v>65770.960031380484</v>
      </c>
    </row>
    <row r="83" spans="2:14" x14ac:dyDescent="0.3">
      <c r="B83">
        <v>53.48</v>
      </c>
      <c r="C83">
        <v>4263</v>
      </c>
      <c r="D83">
        <v>317</v>
      </c>
      <c r="E83">
        <v>1</v>
      </c>
      <c r="F83">
        <v>83</v>
      </c>
      <c r="G83">
        <v>15</v>
      </c>
      <c r="H83">
        <v>0</v>
      </c>
      <c r="I83">
        <v>0</v>
      </c>
      <c r="J83">
        <v>0</v>
      </c>
      <c r="K83">
        <v>1</v>
      </c>
      <c r="L83">
        <v>99</v>
      </c>
      <c r="M83">
        <f t="shared" si="2"/>
        <v>223.91666748193245</v>
      </c>
      <c r="N83">
        <f t="shared" si="3"/>
        <v>15604.17381479168</v>
      </c>
    </row>
    <row r="84" spans="2:14" x14ac:dyDescent="0.3">
      <c r="B84">
        <v>23.672000000000001</v>
      </c>
      <c r="C84">
        <v>4433</v>
      </c>
      <c r="D84">
        <v>344</v>
      </c>
      <c r="E84">
        <v>3</v>
      </c>
      <c r="F84">
        <v>63</v>
      </c>
      <c r="G84">
        <v>11</v>
      </c>
      <c r="H84">
        <v>0</v>
      </c>
      <c r="I84">
        <v>0</v>
      </c>
      <c r="J84">
        <v>0</v>
      </c>
      <c r="K84">
        <v>1</v>
      </c>
      <c r="L84">
        <v>503</v>
      </c>
      <c r="M84">
        <f t="shared" si="2"/>
        <v>597.53911056399488</v>
      </c>
      <c r="N84">
        <f t="shared" si="3"/>
        <v>8937.6434262312487</v>
      </c>
    </row>
    <row r="85" spans="2:14" x14ac:dyDescent="0.3">
      <c r="B85">
        <v>19.225000000000001</v>
      </c>
      <c r="C85">
        <v>1433</v>
      </c>
      <c r="D85">
        <v>122</v>
      </c>
      <c r="E85">
        <v>3</v>
      </c>
      <c r="F85">
        <v>38</v>
      </c>
      <c r="G85">
        <v>14</v>
      </c>
      <c r="H85">
        <v>1</v>
      </c>
      <c r="I85">
        <v>0</v>
      </c>
      <c r="J85">
        <v>0</v>
      </c>
      <c r="K85">
        <v>1</v>
      </c>
      <c r="L85">
        <v>0</v>
      </c>
      <c r="M85">
        <f t="shared" si="2"/>
        <v>-97.829219690867234</v>
      </c>
      <c r="N85">
        <f t="shared" si="3"/>
        <v>9570.5562253239659</v>
      </c>
    </row>
    <row r="86" spans="2:14" x14ac:dyDescent="0.3">
      <c r="B86">
        <v>43.54</v>
      </c>
      <c r="C86">
        <v>2906</v>
      </c>
      <c r="D86">
        <v>232</v>
      </c>
      <c r="E86">
        <v>4</v>
      </c>
      <c r="F86">
        <v>69</v>
      </c>
      <c r="G86">
        <v>11</v>
      </c>
      <c r="H86">
        <v>0</v>
      </c>
      <c r="I86">
        <v>0</v>
      </c>
      <c r="J86">
        <v>0</v>
      </c>
      <c r="K86">
        <v>1</v>
      </c>
      <c r="L86">
        <v>0</v>
      </c>
      <c r="M86">
        <f t="shared" si="2"/>
        <v>57.957608576859784</v>
      </c>
      <c r="N86">
        <f t="shared" si="3"/>
        <v>3359.0843919484905</v>
      </c>
    </row>
    <row r="87" spans="2:14" x14ac:dyDescent="0.3">
      <c r="B87">
        <v>152.298</v>
      </c>
      <c r="C87">
        <v>12066</v>
      </c>
      <c r="D87">
        <v>828</v>
      </c>
      <c r="E87">
        <v>4</v>
      </c>
      <c r="F87">
        <v>41</v>
      </c>
      <c r="G87">
        <v>12</v>
      </c>
      <c r="H87">
        <v>1</v>
      </c>
      <c r="I87">
        <v>0</v>
      </c>
      <c r="J87">
        <v>1</v>
      </c>
      <c r="K87">
        <v>2</v>
      </c>
      <c r="L87">
        <v>1779</v>
      </c>
      <c r="M87">
        <f t="shared" si="2"/>
        <v>1621.1206390277566</v>
      </c>
      <c r="N87">
        <f t="shared" si="3"/>
        <v>24925.892621003924</v>
      </c>
    </row>
    <row r="88" spans="2:14" x14ac:dyDescent="0.3">
      <c r="B88">
        <v>55.366999999999997</v>
      </c>
      <c r="C88">
        <v>6340</v>
      </c>
      <c r="D88">
        <v>448</v>
      </c>
      <c r="E88">
        <v>1</v>
      </c>
      <c r="F88">
        <v>33</v>
      </c>
      <c r="G88">
        <v>15</v>
      </c>
      <c r="H88">
        <v>0</v>
      </c>
      <c r="I88">
        <v>0</v>
      </c>
      <c r="J88">
        <v>1</v>
      </c>
      <c r="K88">
        <v>1</v>
      </c>
      <c r="L88">
        <v>815</v>
      </c>
      <c r="M88">
        <f t="shared" si="2"/>
        <v>863.73096480126492</v>
      </c>
      <c r="N88">
        <f t="shared" si="3"/>
        <v>2374.7069304621205</v>
      </c>
    </row>
    <row r="89" spans="2:14" x14ac:dyDescent="0.3">
      <c r="B89">
        <v>11.741</v>
      </c>
      <c r="C89">
        <v>2271</v>
      </c>
      <c r="D89">
        <v>182</v>
      </c>
      <c r="E89">
        <v>4</v>
      </c>
      <c r="F89">
        <v>59</v>
      </c>
      <c r="G89">
        <v>12</v>
      </c>
      <c r="H89">
        <v>1</v>
      </c>
      <c r="I89">
        <v>0</v>
      </c>
      <c r="J89">
        <v>0</v>
      </c>
      <c r="K89">
        <v>2</v>
      </c>
      <c r="L89">
        <v>0</v>
      </c>
      <c r="M89">
        <f t="shared" si="2"/>
        <v>139.27013213468521</v>
      </c>
      <c r="N89">
        <f t="shared" si="3"/>
        <v>19396.169704812677</v>
      </c>
    </row>
    <row r="90" spans="2:14" x14ac:dyDescent="0.3">
      <c r="B90">
        <v>15.56</v>
      </c>
      <c r="C90">
        <v>4307</v>
      </c>
      <c r="D90">
        <v>352</v>
      </c>
      <c r="E90">
        <v>4</v>
      </c>
      <c r="F90">
        <v>57</v>
      </c>
      <c r="G90">
        <v>8</v>
      </c>
      <c r="H90">
        <v>0</v>
      </c>
      <c r="I90">
        <v>0</v>
      </c>
      <c r="J90">
        <v>1</v>
      </c>
      <c r="K90">
        <v>0</v>
      </c>
      <c r="L90">
        <v>579</v>
      </c>
      <c r="M90">
        <f t="shared" si="2"/>
        <v>687.85321386000624</v>
      </c>
      <c r="N90">
        <f t="shared" si="3"/>
        <v>11849.022167652254</v>
      </c>
    </row>
    <row r="91" spans="2:14" x14ac:dyDescent="0.3">
      <c r="B91">
        <v>59.53</v>
      </c>
      <c r="C91">
        <v>7518</v>
      </c>
      <c r="D91">
        <v>543</v>
      </c>
      <c r="E91">
        <v>3</v>
      </c>
      <c r="F91">
        <v>52</v>
      </c>
      <c r="G91">
        <v>9</v>
      </c>
      <c r="H91">
        <v>1</v>
      </c>
      <c r="I91">
        <v>0</v>
      </c>
      <c r="J91">
        <v>0</v>
      </c>
      <c r="K91">
        <v>0</v>
      </c>
      <c r="L91">
        <v>1176</v>
      </c>
      <c r="M91">
        <f t="shared" si="2"/>
        <v>1170.0574496787381</v>
      </c>
      <c r="N91">
        <f t="shared" si="3"/>
        <v>35.313904320730309</v>
      </c>
    </row>
    <row r="92" spans="2:14" x14ac:dyDescent="0.3">
      <c r="B92">
        <v>20.190999999999999</v>
      </c>
      <c r="C92">
        <v>5767</v>
      </c>
      <c r="D92">
        <v>431</v>
      </c>
      <c r="E92">
        <v>4</v>
      </c>
      <c r="F92">
        <v>42</v>
      </c>
      <c r="G92">
        <v>16</v>
      </c>
      <c r="H92">
        <v>0</v>
      </c>
      <c r="I92">
        <v>0</v>
      </c>
      <c r="J92">
        <v>1</v>
      </c>
      <c r="K92">
        <v>0</v>
      </c>
      <c r="L92">
        <v>1023</v>
      </c>
      <c r="M92">
        <f t="shared" si="2"/>
        <v>936.05492090935479</v>
      </c>
      <c r="N92">
        <f t="shared" si="3"/>
        <v>7559.4467780785508</v>
      </c>
    </row>
    <row r="93" spans="2:14" x14ac:dyDescent="0.3">
      <c r="B93">
        <v>48.497999999999998</v>
      </c>
      <c r="C93">
        <v>6040</v>
      </c>
      <c r="D93">
        <v>456</v>
      </c>
      <c r="E93">
        <v>3</v>
      </c>
      <c r="F93">
        <v>47</v>
      </c>
      <c r="G93">
        <v>16</v>
      </c>
      <c r="H93">
        <v>0</v>
      </c>
      <c r="I93">
        <v>0</v>
      </c>
      <c r="J93">
        <v>1</v>
      </c>
      <c r="K93">
        <v>1</v>
      </c>
      <c r="L93">
        <v>812</v>
      </c>
      <c r="M93">
        <f t="shared" si="2"/>
        <v>786.36667095451878</v>
      </c>
      <c r="N93">
        <f t="shared" si="3"/>
        <v>657.06755795391109</v>
      </c>
    </row>
    <row r="94" spans="2:14" x14ac:dyDescent="0.3">
      <c r="B94">
        <v>30.733000000000001</v>
      </c>
      <c r="C94">
        <v>2832</v>
      </c>
      <c r="D94">
        <v>249</v>
      </c>
      <c r="E94">
        <v>4</v>
      </c>
      <c r="F94">
        <v>51</v>
      </c>
      <c r="G94">
        <v>13</v>
      </c>
      <c r="H94">
        <v>0</v>
      </c>
      <c r="I94">
        <v>0</v>
      </c>
      <c r="J94">
        <v>0</v>
      </c>
      <c r="K94">
        <v>1</v>
      </c>
      <c r="L94">
        <v>0</v>
      </c>
      <c r="M94">
        <f t="shared" si="2"/>
        <v>149.71341974259451</v>
      </c>
      <c r="N94">
        <f t="shared" si="3"/>
        <v>22414.108051022289</v>
      </c>
    </row>
    <row r="95" spans="2:14" x14ac:dyDescent="0.3">
      <c r="B95">
        <v>16.478999999999999</v>
      </c>
      <c r="C95">
        <v>5435</v>
      </c>
      <c r="D95">
        <v>388</v>
      </c>
      <c r="E95">
        <v>2</v>
      </c>
      <c r="F95">
        <v>26</v>
      </c>
      <c r="G95">
        <v>16</v>
      </c>
      <c r="H95">
        <v>0</v>
      </c>
      <c r="I95">
        <v>0</v>
      </c>
      <c r="J95">
        <v>0</v>
      </c>
      <c r="K95">
        <v>0</v>
      </c>
      <c r="L95">
        <v>937</v>
      </c>
      <c r="M95">
        <f t="shared" si="2"/>
        <v>921.90705819024834</v>
      </c>
      <c r="N95">
        <f t="shared" si="3"/>
        <v>227.79689247254984</v>
      </c>
    </row>
    <row r="96" spans="2:14" x14ac:dyDescent="0.3">
      <c r="B96">
        <v>38.009</v>
      </c>
      <c r="C96">
        <v>3075</v>
      </c>
      <c r="D96">
        <v>245</v>
      </c>
      <c r="E96">
        <v>3</v>
      </c>
      <c r="F96">
        <v>45</v>
      </c>
      <c r="G96">
        <v>15</v>
      </c>
      <c r="H96">
        <v>1</v>
      </c>
      <c r="I96">
        <v>0</v>
      </c>
      <c r="J96">
        <v>0</v>
      </c>
      <c r="K96">
        <v>0</v>
      </c>
      <c r="L96">
        <v>0</v>
      </c>
      <c r="M96">
        <f t="shared" si="2"/>
        <v>142.90024438085126</v>
      </c>
      <c r="N96">
        <f t="shared" si="3"/>
        <v>20420.479844107012</v>
      </c>
    </row>
    <row r="97" spans="2:14" x14ac:dyDescent="0.3">
      <c r="B97">
        <v>14.084</v>
      </c>
      <c r="C97">
        <v>855</v>
      </c>
      <c r="D97">
        <v>120</v>
      </c>
      <c r="E97">
        <v>5</v>
      </c>
      <c r="F97">
        <v>46</v>
      </c>
      <c r="G97">
        <v>17</v>
      </c>
      <c r="H97">
        <v>1</v>
      </c>
      <c r="I97">
        <v>0</v>
      </c>
      <c r="J97">
        <v>1</v>
      </c>
      <c r="K97">
        <v>0</v>
      </c>
      <c r="L97">
        <v>0</v>
      </c>
      <c r="M97">
        <f t="shared" si="2"/>
        <v>-271.12155626528107</v>
      </c>
      <c r="N97">
        <f t="shared" si="3"/>
        <v>73506.898271707963</v>
      </c>
    </row>
    <row r="98" spans="2:14" x14ac:dyDescent="0.3">
      <c r="B98">
        <v>14.311999999999999</v>
      </c>
      <c r="C98">
        <v>5382</v>
      </c>
      <c r="D98">
        <v>367</v>
      </c>
      <c r="E98">
        <v>1</v>
      </c>
      <c r="F98">
        <v>59</v>
      </c>
      <c r="G98">
        <v>17</v>
      </c>
      <c r="H98">
        <v>0</v>
      </c>
      <c r="I98">
        <v>1</v>
      </c>
      <c r="J98">
        <v>0</v>
      </c>
      <c r="K98">
        <v>2</v>
      </c>
      <c r="L98">
        <v>1380</v>
      </c>
      <c r="M98">
        <f t="shared" si="2"/>
        <v>1127.3256047455382</v>
      </c>
      <c r="N98">
        <f t="shared" si="3"/>
        <v>63844.350017208009</v>
      </c>
    </row>
    <row r="99" spans="2:14" x14ac:dyDescent="0.3">
      <c r="B99">
        <v>26.067</v>
      </c>
      <c r="C99">
        <v>3388</v>
      </c>
      <c r="D99">
        <v>266</v>
      </c>
      <c r="E99">
        <v>4</v>
      </c>
      <c r="F99">
        <v>74</v>
      </c>
      <c r="G99">
        <v>17</v>
      </c>
      <c r="H99">
        <v>1</v>
      </c>
      <c r="I99">
        <v>0</v>
      </c>
      <c r="J99">
        <v>1</v>
      </c>
      <c r="K99">
        <v>0</v>
      </c>
      <c r="L99">
        <v>155</v>
      </c>
      <c r="M99">
        <f t="shared" si="2"/>
        <v>198.1206388166917</v>
      </c>
      <c r="N99">
        <f t="shared" si="3"/>
        <v>1859.3894919595787</v>
      </c>
    </row>
    <row r="100" spans="2:14" x14ac:dyDescent="0.3">
      <c r="B100">
        <v>36.295000000000002</v>
      </c>
      <c r="C100">
        <v>2963</v>
      </c>
      <c r="D100">
        <v>241</v>
      </c>
      <c r="E100">
        <v>2</v>
      </c>
      <c r="F100">
        <v>68</v>
      </c>
      <c r="G100">
        <v>14</v>
      </c>
      <c r="H100">
        <v>1</v>
      </c>
      <c r="I100">
        <v>1</v>
      </c>
      <c r="J100">
        <v>0</v>
      </c>
      <c r="K100">
        <v>0</v>
      </c>
      <c r="L100">
        <v>375</v>
      </c>
      <c r="M100">
        <f t="shared" si="2"/>
        <v>389.02523059012373</v>
      </c>
      <c r="N100">
        <f t="shared" si="3"/>
        <v>196.70709310614234</v>
      </c>
    </row>
    <row r="101" spans="2:14" x14ac:dyDescent="0.3">
      <c r="B101">
        <v>83.850999999999999</v>
      </c>
      <c r="C101">
        <v>8494</v>
      </c>
      <c r="D101">
        <v>607</v>
      </c>
      <c r="E101">
        <v>5</v>
      </c>
      <c r="F101">
        <v>47</v>
      </c>
      <c r="G101">
        <v>18</v>
      </c>
      <c r="H101">
        <v>0</v>
      </c>
      <c r="I101">
        <v>0</v>
      </c>
      <c r="J101">
        <v>0</v>
      </c>
      <c r="K101">
        <v>1</v>
      </c>
      <c r="L101">
        <v>1311</v>
      </c>
      <c r="M101">
        <f t="shared" si="2"/>
        <v>1114.6055580843235</v>
      </c>
      <c r="N101">
        <f t="shared" si="3"/>
        <v>38570.776815370009</v>
      </c>
    </row>
    <row r="102" spans="2:14" x14ac:dyDescent="0.3">
      <c r="B102">
        <v>21.152999999999999</v>
      </c>
      <c r="C102">
        <v>3736</v>
      </c>
      <c r="D102">
        <v>256</v>
      </c>
      <c r="E102">
        <v>1</v>
      </c>
      <c r="F102">
        <v>41</v>
      </c>
      <c r="G102">
        <v>11</v>
      </c>
      <c r="H102">
        <v>0</v>
      </c>
      <c r="I102">
        <v>0</v>
      </c>
      <c r="J102">
        <v>0</v>
      </c>
      <c r="K102">
        <v>1</v>
      </c>
      <c r="L102">
        <v>298</v>
      </c>
      <c r="M102">
        <f t="shared" si="2"/>
        <v>499.77232031953832</v>
      </c>
      <c r="N102">
        <f t="shared" si="3"/>
        <v>40712.069247130377</v>
      </c>
    </row>
    <row r="103" spans="2:14" x14ac:dyDescent="0.3">
      <c r="B103">
        <v>17.975999999999999</v>
      </c>
      <c r="C103">
        <v>2433</v>
      </c>
      <c r="D103">
        <v>190</v>
      </c>
      <c r="E103">
        <v>3</v>
      </c>
      <c r="F103">
        <v>70</v>
      </c>
      <c r="G103">
        <v>16</v>
      </c>
      <c r="H103">
        <v>1</v>
      </c>
      <c r="I103">
        <v>1</v>
      </c>
      <c r="J103">
        <v>0</v>
      </c>
      <c r="K103">
        <v>1</v>
      </c>
      <c r="L103">
        <v>431</v>
      </c>
      <c r="M103">
        <f t="shared" si="2"/>
        <v>352.35973266405387</v>
      </c>
      <c r="N103">
        <f t="shared" si="3"/>
        <v>6184.2916466690767</v>
      </c>
    </row>
    <row r="104" spans="2:14" x14ac:dyDescent="0.3">
      <c r="B104">
        <v>68.712999999999994</v>
      </c>
      <c r="C104">
        <v>7582</v>
      </c>
      <c r="D104">
        <v>531</v>
      </c>
      <c r="E104">
        <v>2</v>
      </c>
      <c r="F104">
        <v>56</v>
      </c>
      <c r="G104">
        <v>16</v>
      </c>
      <c r="H104">
        <v>0</v>
      </c>
      <c r="I104">
        <v>1</v>
      </c>
      <c r="J104">
        <v>0</v>
      </c>
      <c r="K104">
        <v>1</v>
      </c>
      <c r="L104">
        <v>1587</v>
      </c>
      <c r="M104">
        <f t="shared" si="2"/>
        <v>1309.6472919400812</v>
      </c>
      <c r="N104">
        <f t="shared" si="3"/>
        <v>76924.524668170532</v>
      </c>
    </row>
    <row r="105" spans="2:14" x14ac:dyDescent="0.3">
      <c r="B105">
        <v>146.18299999999999</v>
      </c>
      <c r="C105">
        <v>9540</v>
      </c>
      <c r="D105">
        <v>682</v>
      </c>
      <c r="E105">
        <v>6</v>
      </c>
      <c r="F105">
        <v>66</v>
      </c>
      <c r="G105">
        <v>15</v>
      </c>
      <c r="H105">
        <v>0</v>
      </c>
      <c r="I105">
        <v>0</v>
      </c>
      <c r="J105">
        <v>0</v>
      </c>
      <c r="K105">
        <v>1</v>
      </c>
      <c r="L105">
        <v>1050</v>
      </c>
      <c r="M105">
        <f t="shared" si="2"/>
        <v>922.83605937518007</v>
      </c>
      <c r="N105">
        <f t="shared" si="3"/>
        <v>16170.667795232728</v>
      </c>
    </row>
    <row r="106" spans="2:14" x14ac:dyDescent="0.3">
      <c r="B106">
        <v>15.846</v>
      </c>
      <c r="C106">
        <v>4768</v>
      </c>
      <c r="D106">
        <v>365</v>
      </c>
      <c r="E106">
        <v>4</v>
      </c>
      <c r="F106">
        <v>53</v>
      </c>
      <c r="G106">
        <v>12</v>
      </c>
      <c r="H106">
        <v>1</v>
      </c>
      <c r="I106">
        <v>0</v>
      </c>
      <c r="J106">
        <v>0</v>
      </c>
      <c r="K106">
        <v>1</v>
      </c>
      <c r="L106">
        <v>745</v>
      </c>
      <c r="M106">
        <f t="shared" si="2"/>
        <v>749.42629161456352</v>
      </c>
      <c r="N106">
        <f t="shared" si="3"/>
        <v>19.592057457155374</v>
      </c>
    </row>
    <row r="107" spans="2:14" x14ac:dyDescent="0.3">
      <c r="B107">
        <v>12.031000000000001</v>
      </c>
      <c r="C107">
        <v>3182</v>
      </c>
      <c r="D107">
        <v>259</v>
      </c>
      <c r="E107">
        <v>2</v>
      </c>
      <c r="F107">
        <v>58</v>
      </c>
      <c r="G107">
        <v>18</v>
      </c>
      <c r="H107">
        <v>1</v>
      </c>
      <c r="I107">
        <v>0</v>
      </c>
      <c r="J107">
        <v>1</v>
      </c>
      <c r="K107">
        <v>1</v>
      </c>
      <c r="L107">
        <v>210</v>
      </c>
      <c r="M107">
        <f t="shared" si="2"/>
        <v>274.21292884010109</v>
      </c>
      <c r="N107">
        <f t="shared" si="3"/>
        <v>4123.3002302238856</v>
      </c>
    </row>
    <row r="108" spans="2:14" x14ac:dyDescent="0.3">
      <c r="B108">
        <v>16.818999999999999</v>
      </c>
      <c r="C108">
        <v>1337</v>
      </c>
      <c r="D108">
        <v>115</v>
      </c>
      <c r="E108">
        <v>2</v>
      </c>
      <c r="F108">
        <v>74</v>
      </c>
      <c r="G108">
        <v>15</v>
      </c>
      <c r="H108">
        <v>0</v>
      </c>
      <c r="I108">
        <v>0</v>
      </c>
      <c r="J108">
        <v>1</v>
      </c>
      <c r="K108">
        <v>2</v>
      </c>
      <c r="L108">
        <v>0</v>
      </c>
      <c r="M108">
        <f t="shared" si="2"/>
        <v>-218.00261561434036</v>
      </c>
      <c r="N108">
        <f t="shared" si="3"/>
        <v>47525.140414693837</v>
      </c>
    </row>
    <row r="109" spans="2:14" x14ac:dyDescent="0.3">
      <c r="B109">
        <v>39.11</v>
      </c>
      <c r="C109">
        <v>3189</v>
      </c>
      <c r="D109">
        <v>263</v>
      </c>
      <c r="E109">
        <v>3</v>
      </c>
      <c r="F109">
        <v>72</v>
      </c>
      <c r="G109">
        <v>12</v>
      </c>
      <c r="H109">
        <v>0</v>
      </c>
      <c r="I109">
        <v>0</v>
      </c>
      <c r="J109">
        <v>0</v>
      </c>
      <c r="K109">
        <v>2</v>
      </c>
      <c r="L109">
        <v>0</v>
      </c>
      <c r="M109">
        <f t="shared" si="2"/>
        <v>136.17568469520634</v>
      </c>
      <c r="N109">
        <f t="shared" si="3"/>
        <v>18543.817102208253</v>
      </c>
    </row>
    <row r="110" spans="2:14" x14ac:dyDescent="0.3">
      <c r="B110">
        <v>107.986</v>
      </c>
      <c r="C110">
        <v>6033</v>
      </c>
      <c r="D110">
        <v>449</v>
      </c>
      <c r="E110">
        <v>4</v>
      </c>
      <c r="F110">
        <v>64</v>
      </c>
      <c r="G110">
        <v>14</v>
      </c>
      <c r="H110">
        <v>0</v>
      </c>
      <c r="I110">
        <v>0</v>
      </c>
      <c r="J110">
        <v>1</v>
      </c>
      <c r="K110">
        <v>1</v>
      </c>
      <c r="L110">
        <v>227</v>
      </c>
      <c r="M110">
        <f t="shared" si="2"/>
        <v>342.23580848756654</v>
      </c>
      <c r="N110">
        <f t="shared" si="3"/>
        <v>13279.291557783114</v>
      </c>
    </row>
    <row r="111" spans="2:14" x14ac:dyDescent="0.3">
      <c r="B111">
        <v>13.561</v>
      </c>
      <c r="C111">
        <v>3261</v>
      </c>
      <c r="D111">
        <v>279</v>
      </c>
      <c r="E111">
        <v>5</v>
      </c>
      <c r="F111">
        <v>37</v>
      </c>
      <c r="G111">
        <v>19</v>
      </c>
      <c r="H111">
        <v>0</v>
      </c>
      <c r="I111">
        <v>0</v>
      </c>
      <c r="J111">
        <v>1</v>
      </c>
      <c r="K111">
        <v>2</v>
      </c>
      <c r="L111">
        <v>297</v>
      </c>
      <c r="M111">
        <f t="shared" si="2"/>
        <v>325.95574441267502</v>
      </c>
      <c r="N111">
        <f t="shared" si="3"/>
        <v>838.4351344921605</v>
      </c>
    </row>
    <row r="112" spans="2:14" x14ac:dyDescent="0.3">
      <c r="B112">
        <v>34.536999999999999</v>
      </c>
      <c r="C112">
        <v>3271</v>
      </c>
      <c r="D112">
        <v>250</v>
      </c>
      <c r="E112">
        <v>3</v>
      </c>
      <c r="F112">
        <v>57</v>
      </c>
      <c r="G112">
        <v>17</v>
      </c>
      <c r="H112">
        <v>1</v>
      </c>
      <c r="I112">
        <v>0</v>
      </c>
      <c r="J112">
        <v>1</v>
      </c>
      <c r="K112">
        <v>2</v>
      </c>
      <c r="L112">
        <v>47</v>
      </c>
      <c r="M112">
        <f t="shared" si="2"/>
        <v>152.79902344582695</v>
      </c>
      <c r="N112">
        <f t="shared" si="3"/>
        <v>11193.43336209064</v>
      </c>
    </row>
    <row r="113" spans="2:14" x14ac:dyDescent="0.3">
      <c r="B113">
        <v>28.574999999999999</v>
      </c>
      <c r="C113">
        <v>2959</v>
      </c>
      <c r="D113">
        <v>231</v>
      </c>
      <c r="E113">
        <v>2</v>
      </c>
      <c r="F113">
        <v>60</v>
      </c>
      <c r="G113">
        <v>11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f t="shared" si="2"/>
        <v>202.15564238219338</v>
      </c>
      <c r="N113">
        <f t="shared" si="3"/>
        <v>40866.903746957258</v>
      </c>
    </row>
    <row r="114" spans="2:14" x14ac:dyDescent="0.3">
      <c r="B114">
        <v>46.006999999999998</v>
      </c>
      <c r="C114">
        <v>6637</v>
      </c>
      <c r="D114">
        <v>491</v>
      </c>
      <c r="E114">
        <v>4</v>
      </c>
      <c r="F114">
        <v>42</v>
      </c>
      <c r="G114">
        <v>14</v>
      </c>
      <c r="H114">
        <v>0</v>
      </c>
      <c r="I114">
        <v>0</v>
      </c>
      <c r="J114">
        <v>1</v>
      </c>
      <c r="K114">
        <v>1</v>
      </c>
      <c r="L114">
        <v>1046</v>
      </c>
      <c r="M114">
        <f t="shared" si="2"/>
        <v>998.01503721922643</v>
      </c>
      <c r="N114">
        <f t="shared" si="3"/>
        <v>2302.5566530722249</v>
      </c>
    </row>
    <row r="115" spans="2:14" x14ac:dyDescent="0.3">
      <c r="B115">
        <v>69.251000000000005</v>
      </c>
      <c r="C115">
        <v>6386</v>
      </c>
      <c r="D115">
        <v>474</v>
      </c>
      <c r="E115">
        <v>4</v>
      </c>
      <c r="F115">
        <v>30</v>
      </c>
      <c r="G115">
        <v>12</v>
      </c>
      <c r="H115">
        <v>1</v>
      </c>
      <c r="I115">
        <v>0</v>
      </c>
      <c r="J115">
        <v>1</v>
      </c>
      <c r="K115">
        <v>2</v>
      </c>
      <c r="L115">
        <v>768</v>
      </c>
      <c r="M115">
        <f t="shared" si="2"/>
        <v>831.10755429206097</v>
      </c>
      <c r="N115">
        <f t="shared" si="3"/>
        <v>3982.5634087254225</v>
      </c>
    </row>
    <row r="116" spans="2:14" x14ac:dyDescent="0.3">
      <c r="B116">
        <v>16.481999999999999</v>
      </c>
      <c r="C116">
        <v>3326</v>
      </c>
      <c r="D116">
        <v>268</v>
      </c>
      <c r="E116">
        <v>4</v>
      </c>
      <c r="F116">
        <v>41</v>
      </c>
      <c r="G116">
        <v>15</v>
      </c>
      <c r="H116">
        <v>0</v>
      </c>
      <c r="I116">
        <v>0</v>
      </c>
      <c r="J116">
        <v>0</v>
      </c>
      <c r="K116">
        <v>1</v>
      </c>
      <c r="L116">
        <v>271</v>
      </c>
      <c r="M116">
        <f t="shared" si="2"/>
        <v>371.52800046160058</v>
      </c>
      <c r="N116">
        <f t="shared" si="3"/>
        <v>10105.878876807566</v>
      </c>
    </row>
    <row r="117" spans="2:14" x14ac:dyDescent="0.3">
      <c r="B117">
        <v>40.442</v>
      </c>
      <c r="C117">
        <v>4828</v>
      </c>
      <c r="D117">
        <v>369</v>
      </c>
      <c r="E117">
        <v>5</v>
      </c>
      <c r="F117">
        <v>81</v>
      </c>
      <c r="G117">
        <v>8</v>
      </c>
      <c r="H117">
        <v>1</v>
      </c>
      <c r="I117">
        <v>0</v>
      </c>
      <c r="J117">
        <v>0</v>
      </c>
      <c r="K117">
        <v>0</v>
      </c>
      <c r="L117">
        <v>510</v>
      </c>
      <c r="M117">
        <f t="shared" si="2"/>
        <v>574.23673243250801</v>
      </c>
      <c r="N117">
        <f t="shared" si="3"/>
        <v>4126.3577936056263</v>
      </c>
    </row>
    <row r="118" spans="2:14" x14ac:dyDescent="0.3">
      <c r="B118">
        <v>35.177</v>
      </c>
      <c r="C118">
        <v>2117</v>
      </c>
      <c r="D118">
        <v>186</v>
      </c>
      <c r="E118">
        <v>3</v>
      </c>
      <c r="F118">
        <v>62</v>
      </c>
      <c r="G118">
        <v>16</v>
      </c>
      <c r="H118">
        <v>1</v>
      </c>
      <c r="I118">
        <v>0</v>
      </c>
      <c r="J118">
        <v>0</v>
      </c>
      <c r="K118">
        <v>1</v>
      </c>
      <c r="L118">
        <v>0</v>
      </c>
      <c r="M118">
        <f t="shared" si="2"/>
        <v>-137.39082922831429</v>
      </c>
      <c r="N118">
        <f t="shared" si="3"/>
        <v>18876.239956043821</v>
      </c>
    </row>
    <row r="119" spans="2:14" x14ac:dyDescent="0.3">
      <c r="B119">
        <v>91.361999999999995</v>
      </c>
      <c r="C119">
        <v>9113</v>
      </c>
      <c r="D119">
        <v>626</v>
      </c>
      <c r="E119">
        <v>1</v>
      </c>
      <c r="F119">
        <v>47</v>
      </c>
      <c r="G119">
        <v>17</v>
      </c>
      <c r="H119">
        <v>0</v>
      </c>
      <c r="I119">
        <v>0</v>
      </c>
      <c r="J119">
        <v>1</v>
      </c>
      <c r="K119">
        <v>2</v>
      </c>
      <c r="L119">
        <v>1341</v>
      </c>
      <c r="M119">
        <f t="shared" si="2"/>
        <v>1227.7293522178109</v>
      </c>
      <c r="N119">
        <f t="shared" si="3"/>
        <v>12830.23964899675</v>
      </c>
    </row>
    <row r="120" spans="2:14" x14ac:dyDescent="0.3">
      <c r="B120">
        <v>27.039000000000001</v>
      </c>
      <c r="C120">
        <v>2161</v>
      </c>
      <c r="D120">
        <v>173</v>
      </c>
      <c r="E120">
        <v>3</v>
      </c>
      <c r="F120">
        <v>40</v>
      </c>
      <c r="G120">
        <v>17</v>
      </c>
      <c r="H120">
        <v>1</v>
      </c>
      <c r="I120">
        <v>0</v>
      </c>
      <c r="J120">
        <v>0</v>
      </c>
      <c r="K120">
        <v>1</v>
      </c>
      <c r="L120">
        <v>0</v>
      </c>
      <c r="M120">
        <f t="shared" si="2"/>
        <v>-23.944493135057105</v>
      </c>
      <c r="N120">
        <f t="shared" si="3"/>
        <v>573.33875149479684</v>
      </c>
    </row>
    <row r="121" spans="2:14" x14ac:dyDescent="0.3">
      <c r="B121">
        <v>23.012</v>
      </c>
      <c r="C121">
        <v>1410</v>
      </c>
      <c r="D121">
        <v>137</v>
      </c>
      <c r="E121">
        <v>3</v>
      </c>
      <c r="F121">
        <v>81</v>
      </c>
      <c r="G121">
        <v>16</v>
      </c>
      <c r="H121">
        <v>0</v>
      </c>
      <c r="I121">
        <v>0</v>
      </c>
      <c r="J121">
        <v>0</v>
      </c>
      <c r="K121">
        <v>1</v>
      </c>
      <c r="L121">
        <v>0</v>
      </c>
      <c r="M121">
        <f t="shared" si="2"/>
        <v>-277.61433625755348</v>
      </c>
      <c r="N121">
        <f t="shared" si="3"/>
        <v>77069.719695721971</v>
      </c>
    </row>
    <row r="122" spans="2:14" x14ac:dyDescent="0.3">
      <c r="B122">
        <v>27.241</v>
      </c>
      <c r="C122">
        <v>1402</v>
      </c>
      <c r="D122">
        <v>128</v>
      </c>
      <c r="E122">
        <v>2</v>
      </c>
      <c r="F122">
        <v>67</v>
      </c>
      <c r="G122">
        <v>15</v>
      </c>
      <c r="H122">
        <v>1</v>
      </c>
      <c r="I122">
        <v>0</v>
      </c>
      <c r="J122">
        <v>1</v>
      </c>
      <c r="K122">
        <v>2</v>
      </c>
      <c r="L122">
        <v>0</v>
      </c>
      <c r="M122">
        <f t="shared" si="2"/>
        <v>-257.81254884284022</v>
      </c>
      <c r="N122">
        <f t="shared" si="3"/>
        <v>66467.310340841868</v>
      </c>
    </row>
    <row r="123" spans="2:14" x14ac:dyDescent="0.3">
      <c r="B123">
        <v>148.08000000000001</v>
      </c>
      <c r="C123">
        <v>8157</v>
      </c>
      <c r="D123">
        <v>599</v>
      </c>
      <c r="E123">
        <v>2</v>
      </c>
      <c r="F123">
        <v>83</v>
      </c>
      <c r="G123">
        <v>13</v>
      </c>
      <c r="H123">
        <v>0</v>
      </c>
      <c r="I123">
        <v>0</v>
      </c>
      <c r="J123">
        <v>1</v>
      </c>
      <c r="K123">
        <v>1</v>
      </c>
      <c r="L123">
        <v>454</v>
      </c>
      <c r="M123">
        <f t="shared" si="2"/>
        <v>546.89596499853201</v>
      </c>
      <c r="N123">
        <f t="shared" si="3"/>
        <v>8629.6603130084841</v>
      </c>
    </row>
    <row r="124" spans="2:14" x14ac:dyDescent="0.3">
      <c r="B124">
        <v>62.601999999999997</v>
      </c>
      <c r="C124">
        <v>7056</v>
      </c>
      <c r="D124">
        <v>481</v>
      </c>
      <c r="E124">
        <v>1</v>
      </c>
      <c r="F124">
        <v>84</v>
      </c>
      <c r="G124">
        <v>11</v>
      </c>
      <c r="H124">
        <v>1</v>
      </c>
      <c r="I124">
        <v>0</v>
      </c>
      <c r="J124">
        <v>0</v>
      </c>
      <c r="K124">
        <v>1</v>
      </c>
      <c r="L124">
        <v>904</v>
      </c>
      <c r="M124">
        <f t="shared" si="2"/>
        <v>913.62607641409636</v>
      </c>
      <c r="N124">
        <f t="shared" si="3"/>
        <v>92.661347130022236</v>
      </c>
    </row>
    <row r="125" spans="2:14" x14ac:dyDescent="0.3">
      <c r="B125">
        <v>11.808</v>
      </c>
      <c r="C125">
        <v>1300</v>
      </c>
      <c r="D125">
        <v>117</v>
      </c>
      <c r="E125">
        <v>3</v>
      </c>
      <c r="F125">
        <v>77</v>
      </c>
      <c r="G125">
        <v>14</v>
      </c>
      <c r="H125">
        <v>1</v>
      </c>
      <c r="I125">
        <v>0</v>
      </c>
      <c r="J125">
        <v>0</v>
      </c>
      <c r="K125">
        <v>0</v>
      </c>
      <c r="L125">
        <v>0</v>
      </c>
      <c r="M125">
        <f t="shared" si="2"/>
        <v>-182.86930826974</v>
      </c>
      <c r="N125">
        <f t="shared" si="3"/>
        <v>33441.183907053201</v>
      </c>
    </row>
    <row r="126" spans="2:14" x14ac:dyDescent="0.3">
      <c r="B126">
        <v>29.564</v>
      </c>
      <c r="C126">
        <v>2529</v>
      </c>
      <c r="D126">
        <v>192</v>
      </c>
      <c r="E126">
        <v>1</v>
      </c>
      <c r="F126">
        <v>30</v>
      </c>
      <c r="G126">
        <v>12</v>
      </c>
      <c r="H126">
        <v>1</v>
      </c>
      <c r="I126">
        <v>0</v>
      </c>
      <c r="J126">
        <v>1</v>
      </c>
      <c r="K126">
        <v>1</v>
      </c>
      <c r="L126">
        <v>0</v>
      </c>
      <c r="M126">
        <f t="shared" si="2"/>
        <v>152.59559374072444</v>
      </c>
      <c r="N126">
        <f t="shared" si="3"/>
        <v>23285.415229084221</v>
      </c>
    </row>
    <row r="127" spans="2:14" x14ac:dyDescent="0.3">
      <c r="B127">
        <v>27.577999999999999</v>
      </c>
      <c r="C127">
        <v>2531</v>
      </c>
      <c r="D127">
        <v>195</v>
      </c>
      <c r="E127">
        <v>1</v>
      </c>
      <c r="F127">
        <v>34</v>
      </c>
      <c r="G127">
        <v>15</v>
      </c>
      <c r="H127">
        <v>1</v>
      </c>
      <c r="I127">
        <v>0</v>
      </c>
      <c r="J127">
        <v>1</v>
      </c>
      <c r="K127">
        <v>1</v>
      </c>
      <c r="L127">
        <v>0</v>
      </c>
      <c r="M127">
        <f t="shared" si="2"/>
        <v>110.40077178309569</v>
      </c>
      <c r="N127">
        <f t="shared" si="3"/>
        <v>12188.330410303179</v>
      </c>
    </row>
    <row r="128" spans="2:14" x14ac:dyDescent="0.3">
      <c r="B128">
        <v>26.427</v>
      </c>
      <c r="C128">
        <v>5533</v>
      </c>
      <c r="D128">
        <v>433</v>
      </c>
      <c r="E128">
        <v>5</v>
      </c>
      <c r="F128">
        <v>50</v>
      </c>
      <c r="G128">
        <v>15</v>
      </c>
      <c r="H128">
        <v>1</v>
      </c>
      <c r="I128">
        <v>1</v>
      </c>
      <c r="J128">
        <v>1</v>
      </c>
      <c r="K128">
        <v>2</v>
      </c>
      <c r="L128">
        <v>1404</v>
      </c>
      <c r="M128">
        <f t="shared" si="2"/>
        <v>1135.6532908107367</v>
      </c>
      <c r="N128">
        <f t="shared" si="3"/>
        <v>72009.956332707035</v>
      </c>
    </row>
    <row r="129" spans="2:14" x14ac:dyDescent="0.3">
      <c r="B129">
        <v>57.201999999999998</v>
      </c>
      <c r="C129">
        <v>3411</v>
      </c>
      <c r="D129">
        <v>259</v>
      </c>
      <c r="E129">
        <v>3</v>
      </c>
      <c r="F129">
        <v>72</v>
      </c>
      <c r="G129">
        <v>11</v>
      </c>
      <c r="H129">
        <v>1</v>
      </c>
      <c r="I129">
        <v>0</v>
      </c>
      <c r="J129">
        <v>0</v>
      </c>
      <c r="K129">
        <v>1</v>
      </c>
      <c r="L129">
        <v>0</v>
      </c>
      <c r="M129">
        <f t="shared" si="2"/>
        <v>76.867156735959909</v>
      </c>
      <c r="N129">
        <f t="shared" si="3"/>
        <v>5908.5597846706269</v>
      </c>
    </row>
    <row r="130" spans="2:14" x14ac:dyDescent="0.3">
      <c r="B130">
        <v>123.29900000000001</v>
      </c>
      <c r="C130">
        <v>8376</v>
      </c>
      <c r="D130">
        <v>610</v>
      </c>
      <c r="E130">
        <v>2</v>
      </c>
      <c r="F130">
        <v>89</v>
      </c>
      <c r="G130">
        <v>17</v>
      </c>
      <c r="H130">
        <v>0</v>
      </c>
      <c r="I130">
        <v>1</v>
      </c>
      <c r="J130">
        <v>0</v>
      </c>
      <c r="K130">
        <v>0</v>
      </c>
      <c r="L130">
        <v>1259</v>
      </c>
      <c r="M130">
        <f t="shared" si="2"/>
        <v>1011.2303413032787</v>
      </c>
      <c r="N130">
        <f t="shared" si="3"/>
        <v>61389.803770689767</v>
      </c>
    </row>
    <row r="131" spans="2:14" x14ac:dyDescent="0.3">
      <c r="B131">
        <v>18.145</v>
      </c>
      <c r="C131">
        <v>3461</v>
      </c>
      <c r="D131">
        <v>279</v>
      </c>
      <c r="E131">
        <v>3</v>
      </c>
      <c r="F131">
        <v>56</v>
      </c>
      <c r="G131">
        <v>15</v>
      </c>
      <c r="H131">
        <v>0</v>
      </c>
      <c r="I131">
        <v>0</v>
      </c>
      <c r="J131">
        <v>1</v>
      </c>
      <c r="K131">
        <v>0</v>
      </c>
      <c r="L131">
        <v>255</v>
      </c>
      <c r="M131">
        <f t="shared" ref="M131:M194" si="4">$Q$3+$Q$4*B131+$Q$5*C131+$Q$6*D131+$Q$7*E131+$Q$8*F131+$Q$9*G131+$Q$10*H131+$Q$11*I131+$Q$12*J131+$Q$13*K131</f>
        <v>352.45576322676652</v>
      </c>
      <c r="N131">
        <f t="shared" ref="N131:N194" si="5">(L131-M131)^2</f>
        <v>9497.6257861115773</v>
      </c>
    </row>
    <row r="132" spans="2:14" x14ac:dyDescent="0.3">
      <c r="B132">
        <v>23.792999999999999</v>
      </c>
      <c r="C132">
        <v>3821</v>
      </c>
      <c r="D132">
        <v>281</v>
      </c>
      <c r="E132">
        <v>4</v>
      </c>
      <c r="F132">
        <v>56</v>
      </c>
      <c r="G132">
        <v>12</v>
      </c>
      <c r="H132">
        <v>1</v>
      </c>
      <c r="I132">
        <v>1</v>
      </c>
      <c r="J132">
        <v>1</v>
      </c>
      <c r="K132">
        <v>0</v>
      </c>
      <c r="L132">
        <v>868</v>
      </c>
      <c r="M132">
        <f t="shared" si="4"/>
        <v>757.10257754739757</v>
      </c>
      <c r="N132">
        <f t="shared" si="5"/>
        <v>12298.238306630969</v>
      </c>
    </row>
    <row r="133" spans="2:14" x14ac:dyDescent="0.3">
      <c r="B133">
        <v>10.726000000000001</v>
      </c>
      <c r="C133">
        <v>1568</v>
      </c>
      <c r="D133">
        <v>162</v>
      </c>
      <c r="E133">
        <v>5</v>
      </c>
      <c r="F133">
        <v>46</v>
      </c>
      <c r="G133">
        <v>19</v>
      </c>
      <c r="H133">
        <v>0</v>
      </c>
      <c r="I133">
        <v>0</v>
      </c>
      <c r="J133">
        <v>1</v>
      </c>
      <c r="K133">
        <v>2</v>
      </c>
      <c r="L133">
        <v>0</v>
      </c>
      <c r="M133">
        <f t="shared" si="4"/>
        <v>-100.42722089631928</v>
      </c>
      <c r="N133">
        <f t="shared" si="5"/>
        <v>10085.626696958108</v>
      </c>
    </row>
    <row r="134" spans="2:14" x14ac:dyDescent="0.3">
      <c r="B134">
        <v>23.283000000000001</v>
      </c>
      <c r="C134">
        <v>5443</v>
      </c>
      <c r="D134">
        <v>407</v>
      </c>
      <c r="E134">
        <v>4</v>
      </c>
      <c r="F134">
        <v>49</v>
      </c>
      <c r="G134">
        <v>13</v>
      </c>
      <c r="H134">
        <v>0</v>
      </c>
      <c r="I134">
        <v>0</v>
      </c>
      <c r="J134">
        <v>1</v>
      </c>
      <c r="K134">
        <v>0</v>
      </c>
      <c r="L134">
        <v>912</v>
      </c>
      <c r="M134">
        <f t="shared" si="4"/>
        <v>860.20775786544255</v>
      </c>
      <c r="N134">
        <f t="shared" si="5"/>
        <v>2682.4363453246287</v>
      </c>
    </row>
    <row r="135" spans="2:14" x14ac:dyDescent="0.3">
      <c r="B135">
        <v>21.454999999999998</v>
      </c>
      <c r="C135">
        <v>5829</v>
      </c>
      <c r="D135">
        <v>427</v>
      </c>
      <c r="E135">
        <v>4</v>
      </c>
      <c r="F135">
        <v>80</v>
      </c>
      <c r="G135">
        <v>12</v>
      </c>
      <c r="H135">
        <v>1</v>
      </c>
      <c r="I135">
        <v>0</v>
      </c>
      <c r="J135">
        <v>1</v>
      </c>
      <c r="K135">
        <v>0</v>
      </c>
      <c r="L135">
        <v>1018</v>
      </c>
      <c r="M135">
        <f t="shared" si="4"/>
        <v>900.96035921270652</v>
      </c>
      <c r="N135">
        <f t="shared" si="5"/>
        <v>13698.277515618691</v>
      </c>
    </row>
    <row r="136" spans="2:14" x14ac:dyDescent="0.3">
      <c r="B136">
        <v>34.664000000000001</v>
      </c>
      <c r="C136">
        <v>5835</v>
      </c>
      <c r="D136">
        <v>452</v>
      </c>
      <c r="E136">
        <v>3</v>
      </c>
      <c r="F136">
        <v>77</v>
      </c>
      <c r="G136">
        <v>15</v>
      </c>
      <c r="H136">
        <v>1</v>
      </c>
      <c r="I136">
        <v>0</v>
      </c>
      <c r="J136">
        <v>1</v>
      </c>
      <c r="K136">
        <v>0</v>
      </c>
      <c r="L136">
        <v>835</v>
      </c>
      <c r="M136">
        <f t="shared" si="4"/>
        <v>769.16230790794418</v>
      </c>
      <c r="N136">
        <f t="shared" si="5"/>
        <v>4334.6017000083493</v>
      </c>
    </row>
    <row r="137" spans="2:14" x14ac:dyDescent="0.3">
      <c r="B137">
        <v>44.472999999999999</v>
      </c>
      <c r="C137">
        <v>3500</v>
      </c>
      <c r="D137">
        <v>257</v>
      </c>
      <c r="E137">
        <v>3</v>
      </c>
      <c r="F137">
        <v>81</v>
      </c>
      <c r="G137">
        <v>16</v>
      </c>
      <c r="H137">
        <v>1</v>
      </c>
      <c r="I137">
        <v>0</v>
      </c>
      <c r="J137">
        <v>0</v>
      </c>
      <c r="K137">
        <v>0</v>
      </c>
      <c r="L137">
        <v>8</v>
      </c>
      <c r="M137">
        <f t="shared" si="4"/>
        <v>89.485755551251088</v>
      </c>
      <c r="N137">
        <f t="shared" si="5"/>
        <v>6639.9283577582473</v>
      </c>
    </row>
    <row r="138" spans="2:14" x14ac:dyDescent="0.3">
      <c r="B138">
        <v>54.662999999999997</v>
      </c>
      <c r="C138">
        <v>4116</v>
      </c>
      <c r="D138">
        <v>314</v>
      </c>
      <c r="E138">
        <v>2</v>
      </c>
      <c r="F138">
        <v>70</v>
      </c>
      <c r="G138">
        <v>8</v>
      </c>
      <c r="H138">
        <v>1</v>
      </c>
      <c r="I138">
        <v>0</v>
      </c>
      <c r="J138">
        <v>0</v>
      </c>
      <c r="K138">
        <v>0</v>
      </c>
      <c r="L138">
        <v>75</v>
      </c>
      <c r="M138">
        <f t="shared" si="4"/>
        <v>322.44451532197166</v>
      </c>
      <c r="N138">
        <f t="shared" si="5"/>
        <v>61228.78816292547</v>
      </c>
    </row>
    <row r="139" spans="2:14" x14ac:dyDescent="0.3">
      <c r="B139">
        <v>36.354999999999997</v>
      </c>
      <c r="C139">
        <v>3613</v>
      </c>
      <c r="D139">
        <v>278</v>
      </c>
      <c r="E139">
        <v>4</v>
      </c>
      <c r="F139">
        <v>35</v>
      </c>
      <c r="G139">
        <v>9</v>
      </c>
      <c r="H139">
        <v>0</v>
      </c>
      <c r="I139">
        <v>0</v>
      </c>
      <c r="J139">
        <v>1</v>
      </c>
      <c r="K139">
        <v>2</v>
      </c>
      <c r="L139">
        <v>187</v>
      </c>
      <c r="M139">
        <f t="shared" si="4"/>
        <v>408.45193237494505</v>
      </c>
      <c r="N139">
        <f t="shared" si="5"/>
        <v>49040.958352597234</v>
      </c>
    </row>
    <row r="140" spans="2:14" x14ac:dyDescent="0.3">
      <c r="B140">
        <v>21.373999999999999</v>
      </c>
      <c r="C140">
        <v>2073</v>
      </c>
      <c r="D140">
        <v>175</v>
      </c>
      <c r="E140">
        <v>2</v>
      </c>
      <c r="F140">
        <v>74</v>
      </c>
      <c r="G140">
        <v>11</v>
      </c>
      <c r="H140">
        <v>1</v>
      </c>
      <c r="I140">
        <v>0</v>
      </c>
      <c r="J140">
        <v>1</v>
      </c>
      <c r="K140">
        <v>1</v>
      </c>
      <c r="L140">
        <v>0</v>
      </c>
      <c r="M140">
        <f t="shared" si="4"/>
        <v>-5.2747445389174574</v>
      </c>
      <c r="N140">
        <f t="shared" si="5"/>
        <v>27.822929950839541</v>
      </c>
    </row>
    <row r="141" spans="2:14" x14ac:dyDescent="0.3">
      <c r="B141">
        <v>107.84099999999999</v>
      </c>
      <c r="C141">
        <v>10384</v>
      </c>
      <c r="D141">
        <v>728</v>
      </c>
      <c r="E141">
        <v>3</v>
      </c>
      <c r="F141">
        <v>87</v>
      </c>
      <c r="G141">
        <v>7</v>
      </c>
      <c r="H141">
        <v>0</v>
      </c>
      <c r="I141">
        <v>0</v>
      </c>
      <c r="J141">
        <v>0</v>
      </c>
      <c r="K141">
        <v>0</v>
      </c>
      <c r="L141">
        <v>1597</v>
      </c>
      <c r="M141">
        <f t="shared" si="4"/>
        <v>1473.9239817524408</v>
      </c>
      <c r="N141">
        <f t="shared" si="5"/>
        <v>15147.706267673526</v>
      </c>
    </row>
    <row r="142" spans="2:14" x14ac:dyDescent="0.3">
      <c r="B142">
        <v>39.831000000000003</v>
      </c>
      <c r="C142">
        <v>6045</v>
      </c>
      <c r="D142">
        <v>459</v>
      </c>
      <c r="E142">
        <v>3</v>
      </c>
      <c r="F142">
        <v>32</v>
      </c>
      <c r="G142">
        <v>12</v>
      </c>
      <c r="H142">
        <v>1</v>
      </c>
      <c r="I142">
        <v>1</v>
      </c>
      <c r="J142">
        <v>1</v>
      </c>
      <c r="K142">
        <v>0</v>
      </c>
      <c r="L142">
        <v>1425</v>
      </c>
      <c r="M142">
        <f t="shared" si="4"/>
        <v>1261.3647526520049</v>
      </c>
      <c r="N142">
        <f t="shared" si="5"/>
        <v>26776.494174639545</v>
      </c>
    </row>
    <row r="143" spans="2:14" x14ac:dyDescent="0.3">
      <c r="B143">
        <v>91.876000000000005</v>
      </c>
      <c r="C143">
        <v>6754</v>
      </c>
      <c r="D143">
        <v>483</v>
      </c>
      <c r="E143">
        <v>2</v>
      </c>
      <c r="F143">
        <v>33</v>
      </c>
      <c r="G143">
        <v>10</v>
      </c>
      <c r="H143">
        <v>0</v>
      </c>
      <c r="I143">
        <v>0</v>
      </c>
      <c r="J143">
        <v>1</v>
      </c>
      <c r="K143">
        <v>1</v>
      </c>
      <c r="L143">
        <v>605</v>
      </c>
      <c r="M143">
        <f t="shared" si="4"/>
        <v>782.1430516199573</v>
      </c>
      <c r="N143">
        <f t="shared" si="5"/>
        <v>31379.660737230857</v>
      </c>
    </row>
    <row r="144" spans="2:14" x14ac:dyDescent="0.3">
      <c r="B144">
        <v>103.893</v>
      </c>
      <c r="C144">
        <v>7416</v>
      </c>
      <c r="D144">
        <v>549</v>
      </c>
      <c r="E144">
        <v>3</v>
      </c>
      <c r="F144">
        <v>84</v>
      </c>
      <c r="G144">
        <v>17</v>
      </c>
      <c r="H144">
        <v>0</v>
      </c>
      <c r="I144">
        <v>0</v>
      </c>
      <c r="J144">
        <v>0</v>
      </c>
      <c r="K144">
        <v>2</v>
      </c>
      <c r="L144">
        <v>669</v>
      </c>
      <c r="M144">
        <f t="shared" si="4"/>
        <v>615.62755641429897</v>
      </c>
      <c r="N144">
        <f t="shared" si="5"/>
        <v>2848.6177343088393</v>
      </c>
    </row>
    <row r="145" spans="2:14" x14ac:dyDescent="0.3">
      <c r="B145">
        <v>19.635999999999999</v>
      </c>
      <c r="C145">
        <v>4896</v>
      </c>
      <c r="D145">
        <v>387</v>
      </c>
      <c r="E145">
        <v>3</v>
      </c>
      <c r="F145">
        <v>64</v>
      </c>
      <c r="G145">
        <v>10</v>
      </c>
      <c r="H145">
        <v>1</v>
      </c>
      <c r="I145">
        <v>0</v>
      </c>
      <c r="J145">
        <v>0</v>
      </c>
      <c r="K145">
        <v>0</v>
      </c>
      <c r="L145">
        <v>710</v>
      </c>
      <c r="M145">
        <f t="shared" si="4"/>
        <v>755.04683068890347</v>
      </c>
      <c r="N145">
        <f t="shared" si="5"/>
        <v>2029.2169551147354</v>
      </c>
    </row>
    <row r="146" spans="2:14" x14ac:dyDescent="0.3">
      <c r="B146">
        <v>17.391999999999999</v>
      </c>
      <c r="C146">
        <v>2748</v>
      </c>
      <c r="D146">
        <v>228</v>
      </c>
      <c r="E146">
        <v>3</v>
      </c>
      <c r="F146">
        <v>32</v>
      </c>
      <c r="G146">
        <v>14</v>
      </c>
      <c r="H146">
        <v>0</v>
      </c>
      <c r="I146">
        <v>0</v>
      </c>
      <c r="J146">
        <v>1</v>
      </c>
      <c r="K146">
        <v>1</v>
      </c>
      <c r="L146">
        <v>68</v>
      </c>
      <c r="M146">
        <f t="shared" si="4"/>
        <v>259.97792747294994</v>
      </c>
      <c r="N146">
        <f t="shared" si="5"/>
        <v>36855.524636809227</v>
      </c>
    </row>
    <row r="147" spans="2:14" x14ac:dyDescent="0.3">
      <c r="B147">
        <v>19.529</v>
      </c>
      <c r="C147">
        <v>4673</v>
      </c>
      <c r="D147">
        <v>341</v>
      </c>
      <c r="E147">
        <v>2</v>
      </c>
      <c r="F147">
        <v>51</v>
      </c>
      <c r="G147">
        <v>14</v>
      </c>
      <c r="H147">
        <v>0</v>
      </c>
      <c r="I147">
        <v>0</v>
      </c>
      <c r="J147">
        <v>0</v>
      </c>
      <c r="K147">
        <v>2</v>
      </c>
      <c r="L147">
        <v>642</v>
      </c>
      <c r="M147">
        <f t="shared" si="4"/>
        <v>672.44041955231626</v>
      </c>
      <c r="N147">
        <f t="shared" si="5"/>
        <v>926.61914252103793</v>
      </c>
    </row>
    <row r="148" spans="2:14" x14ac:dyDescent="0.3">
      <c r="B148">
        <v>17.055</v>
      </c>
      <c r="C148">
        <v>5110</v>
      </c>
      <c r="D148">
        <v>371</v>
      </c>
      <c r="E148">
        <v>3</v>
      </c>
      <c r="F148">
        <v>55</v>
      </c>
      <c r="G148">
        <v>15</v>
      </c>
      <c r="H148">
        <v>1</v>
      </c>
      <c r="I148">
        <v>0</v>
      </c>
      <c r="J148">
        <v>1</v>
      </c>
      <c r="K148">
        <v>1</v>
      </c>
      <c r="L148">
        <v>805</v>
      </c>
      <c r="M148">
        <f t="shared" si="4"/>
        <v>773.750820440903</v>
      </c>
      <c r="N148">
        <f t="shared" si="5"/>
        <v>976.51122311668587</v>
      </c>
    </row>
    <row r="149" spans="2:14" x14ac:dyDescent="0.3">
      <c r="B149">
        <v>23.856999999999999</v>
      </c>
      <c r="C149">
        <v>1501</v>
      </c>
      <c r="D149">
        <v>150</v>
      </c>
      <c r="E149">
        <v>3</v>
      </c>
      <c r="F149">
        <v>56</v>
      </c>
      <c r="G149">
        <v>16</v>
      </c>
      <c r="H149">
        <v>0</v>
      </c>
      <c r="I149">
        <v>0</v>
      </c>
      <c r="J149">
        <v>1</v>
      </c>
      <c r="K149">
        <v>1</v>
      </c>
      <c r="L149">
        <v>0</v>
      </c>
      <c r="M149">
        <f t="shared" si="4"/>
        <v>-193.26720823419504</v>
      </c>
      <c r="N149">
        <f t="shared" si="5"/>
        <v>37352.213778639707</v>
      </c>
    </row>
    <row r="150" spans="2:14" x14ac:dyDescent="0.3">
      <c r="B150">
        <v>15.183999999999999</v>
      </c>
      <c r="C150">
        <v>2420</v>
      </c>
      <c r="D150">
        <v>192</v>
      </c>
      <c r="E150">
        <v>2</v>
      </c>
      <c r="F150">
        <v>69</v>
      </c>
      <c r="G150">
        <v>11</v>
      </c>
      <c r="H150">
        <v>1</v>
      </c>
      <c r="I150">
        <v>0</v>
      </c>
      <c r="J150">
        <v>1</v>
      </c>
      <c r="K150">
        <v>1</v>
      </c>
      <c r="L150">
        <v>0</v>
      </c>
      <c r="M150">
        <f t="shared" si="4"/>
        <v>139.25662753581992</v>
      </c>
      <c r="N150">
        <f t="shared" si="5"/>
        <v>19392.408312650077</v>
      </c>
    </row>
    <row r="151" spans="2:14" x14ac:dyDescent="0.3">
      <c r="B151">
        <v>13.444000000000001</v>
      </c>
      <c r="C151">
        <v>886</v>
      </c>
      <c r="D151">
        <v>121</v>
      </c>
      <c r="E151">
        <v>5</v>
      </c>
      <c r="F151">
        <v>44</v>
      </c>
      <c r="G151">
        <v>10</v>
      </c>
      <c r="H151">
        <v>0</v>
      </c>
      <c r="I151">
        <v>0</v>
      </c>
      <c r="J151">
        <v>1</v>
      </c>
      <c r="K151">
        <v>2</v>
      </c>
      <c r="L151">
        <v>0</v>
      </c>
      <c r="M151">
        <f t="shared" si="4"/>
        <v>-146.11915856620868</v>
      </c>
      <c r="N151">
        <f t="shared" si="5"/>
        <v>21350.808500096835</v>
      </c>
    </row>
    <row r="152" spans="2:14" x14ac:dyDescent="0.3">
      <c r="B152">
        <v>63.930999999999997</v>
      </c>
      <c r="C152">
        <v>5728</v>
      </c>
      <c r="D152">
        <v>435</v>
      </c>
      <c r="E152">
        <v>3</v>
      </c>
      <c r="F152">
        <v>28</v>
      </c>
      <c r="G152">
        <v>14</v>
      </c>
      <c r="H152">
        <v>1</v>
      </c>
      <c r="I152">
        <v>0</v>
      </c>
      <c r="J152">
        <v>1</v>
      </c>
      <c r="K152">
        <v>0</v>
      </c>
      <c r="L152">
        <v>581</v>
      </c>
      <c r="M152">
        <f t="shared" si="4"/>
        <v>679.95122603597054</v>
      </c>
      <c r="N152">
        <f t="shared" si="5"/>
        <v>9791.3451340217325</v>
      </c>
    </row>
    <row r="153" spans="2:14" x14ac:dyDescent="0.3">
      <c r="B153">
        <v>35.863999999999997</v>
      </c>
      <c r="C153">
        <v>4831</v>
      </c>
      <c r="D153">
        <v>353</v>
      </c>
      <c r="E153">
        <v>3</v>
      </c>
      <c r="F153">
        <v>66</v>
      </c>
      <c r="G153">
        <v>13</v>
      </c>
      <c r="H153">
        <v>1</v>
      </c>
      <c r="I153">
        <v>0</v>
      </c>
      <c r="J153">
        <v>1</v>
      </c>
      <c r="K153">
        <v>1</v>
      </c>
      <c r="L153">
        <v>534</v>
      </c>
      <c r="M153">
        <f t="shared" si="4"/>
        <v>569.96143527176196</v>
      </c>
      <c r="N153">
        <f t="shared" si="5"/>
        <v>1293.2248268051248</v>
      </c>
    </row>
    <row r="154" spans="2:14" x14ac:dyDescent="0.3">
      <c r="B154">
        <v>41.418999999999997</v>
      </c>
      <c r="C154">
        <v>2120</v>
      </c>
      <c r="D154">
        <v>184</v>
      </c>
      <c r="E154">
        <v>4</v>
      </c>
      <c r="F154">
        <v>24</v>
      </c>
      <c r="G154">
        <v>11</v>
      </c>
      <c r="H154">
        <v>1</v>
      </c>
      <c r="I154">
        <v>1</v>
      </c>
      <c r="J154">
        <v>0</v>
      </c>
      <c r="K154">
        <v>1</v>
      </c>
      <c r="L154">
        <v>156</v>
      </c>
      <c r="M154">
        <f t="shared" si="4"/>
        <v>307.87588374704649</v>
      </c>
      <c r="N154">
        <f t="shared" si="5"/>
        <v>23066.284063946379</v>
      </c>
    </row>
    <row r="155" spans="2:14" x14ac:dyDescent="0.3">
      <c r="B155">
        <v>92.111999999999995</v>
      </c>
      <c r="C155">
        <v>4612</v>
      </c>
      <c r="D155">
        <v>344</v>
      </c>
      <c r="E155">
        <v>3</v>
      </c>
      <c r="F155">
        <v>32</v>
      </c>
      <c r="G155">
        <v>17</v>
      </c>
      <c r="H155">
        <v>0</v>
      </c>
      <c r="I155">
        <v>0</v>
      </c>
      <c r="J155">
        <v>0</v>
      </c>
      <c r="K155">
        <v>1</v>
      </c>
      <c r="L155">
        <v>0</v>
      </c>
      <c r="M155">
        <f t="shared" si="4"/>
        <v>141.60216860990252</v>
      </c>
      <c r="N155">
        <f t="shared" si="5"/>
        <v>20051.174155027264</v>
      </c>
    </row>
    <row r="156" spans="2:14" x14ac:dyDescent="0.3">
      <c r="B156">
        <v>55.055999999999997</v>
      </c>
      <c r="C156">
        <v>3155</v>
      </c>
      <c r="D156">
        <v>235</v>
      </c>
      <c r="E156">
        <v>2</v>
      </c>
      <c r="F156">
        <v>31</v>
      </c>
      <c r="G156">
        <v>16</v>
      </c>
      <c r="H156">
        <v>0</v>
      </c>
      <c r="I156">
        <v>0</v>
      </c>
      <c r="J156">
        <v>1</v>
      </c>
      <c r="K156">
        <v>0</v>
      </c>
      <c r="L156">
        <v>0</v>
      </c>
      <c r="M156">
        <f t="shared" si="4"/>
        <v>62.238780009442543</v>
      </c>
      <c r="N156">
        <f t="shared" si="5"/>
        <v>3873.6657370637845</v>
      </c>
    </row>
    <row r="157" spans="2:14" x14ac:dyDescent="0.3">
      <c r="B157">
        <v>19.536999999999999</v>
      </c>
      <c r="C157">
        <v>1362</v>
      </c>
      <c r="D157">
        <v>143</v>
      </c>
      <c r="E157">
        <v>4</v>
      </c>
      <c r="F157">
        <v>34</v>
      </c>
      <c r="G157">
        <v>9</v>
      </c>
      <c r="H157">
        <v>1</v>
      </c>
      <c r="I157">
        <v>0</v>
      </c>
      <c r="J157">
        <v>1</v>
      </c>
      <c r="K157">
        <v>2</v>
      </c>
      <c r="L157">
        <v>0</v>
      </c>
      <c r="M157">
        <f t="shared" si="4"/>
        <v>-29.497314419946917</v>
      </c>
      <c r="N157">
        <f t="shared" si="5"/>
        <v>870.09155798920835</v>
      </c>
    </row>
    <row r="158" spans="2:14" x14ac:dyDescent="0.3">
      <c r="B158">
        <v>31.811</v>
      </c>
      <c r="C158">
        <v>4284</v>
      </c>
      <c r="D158">
        <v>338</v>
      </c>
      <c r="E158">
        <v>5</v>
      </c>
      <c r="F158">
        <v>75</v>
      </c>
      <c r="G158">
        <v>13</v>
      </c>
      <c r="H158">
        <v>1</v>
      </c>
      <c r="I158">
        <v>0</v>
      </c>
      <c r="J158">
        <v>1</v>
      </c>
      <c r="K158">
        <v>1</v>
      </c>
      <c r="L158">
        <v>429</v>
      </c>
      <c r="M158">
        <f t="shared" si="4"/>
        <v>439.58535924963417</v>
      </c>
      <c r="N158">
        <f t="shared" si="5"/>
        <v>112.04983044381559</v>
      </c>
    </row>
    <row r="159" spans="2:14" x14ac:dyDescent="0.3">
      <c r="B159">
        <v>56.256</v>
      </c>
      <c r="C159">
        <v>5521</v>
      </c>
      <c r="D159">
        <v>406</v>
      </c>
      <c r="E159">
        <v>2</v>
      </c>
      <c r="F159">
        <v>72</v>
      </c>
      <c r="G159">
        <v>16</v>
      </c>
      <c r="H159">
        <v>1</v>
      </c>
      <c r="I159">
        <v>1</v>
      </c>
      <c r="J159">
        <v>1</v>
      </c>
      <c r="K159">
        <v>1</v>
      </c>
      <c r="L159">
        <v>1020</v>
      </c>
      <c r="M159">
        <f t="shared" si="4"/>
        <v>841.72154441359532</v>
      </c>
      <c r="N159">
        <f t="shared" si="5"/>
        <v>31783.207726273664</v>
      </c>
    </row>
    <row r="160" spans="2:14" x14ac:dyDescent="0.3">
      <c r="B160">
        <v>42.356999999999999</v>
      </c>
      <c r="C160">
        <v>5550</v>
      </c>
      <c r="D160">
        <v>406</v>
      </c>
      <c r="E160">
        <v>2</v>
      </c>
      <c r="F160">
        <v>83</v>
      </c>
      <c r="G160">
        <v>12</v>
      </c>
      <c r="H160">
        <v>1</v>
      </c>
      <c r="I160">
        <v>0</v>
      </c>
      <c r="J160">
        <v>1</v>
      </c>
      <c r="K160">
        <v>2</v>
      </c>
      <c r="L160">
        <v>653</v>
      </c>
      <c r="M160">
        <f t="shared" si="4"/>
        <v>671.25862078524415</v>
      </c>
      <c r="N160">
        <f t="shared" si="5"/>
        <v>333.37723297934963</v>
      </c>
    </row>
    <row r="161" spans="2:14" x14ac:dyDescent="0.3">
      <c r="B161">
        <v>53.319000000000003</v>
      </c>
      <c r="C161">
        <v>3000</v>
      </c>
      <c r="D161">
        <v>235</v>
      </c>
      <c r="E161">
        <v>3</v>
      </c>
      <c r="F161">
        <v>53</v>
      </c>
      <c r="G161">
        <v>13</v>
      </c>
      <c r="H161">
        <v>0</v>
      </c>
      <c r="I161">
        <v>0</v>
      </c>
      <c r="J161">
        <v>0</v>
      </c>
      <c r="K161">
        <v>2</v>
      </c>
      <c r="L161">
        <v>0</v>
      </c>
      <c r="M161">
        <f t="shared" si="4"/>
        <v>22.736117870510352</v>
      </c>
      <c r="N161">
        <f t="shared" si="5"/>
        <v>516.93105582174019</v>
      </c>
    </row>
    <row r="162" spans="2:14" x14ac:dyDescent="0.3">
      <c r="B162">
        <v>12.238</v>
      </c>
      <c r="C162">
        <v>4865</v>
      </c>
      <c r="D162">
        <v>381</v>
      </c>
      <c r="E162">
        <v>5</v>
      </c>
      <c r="F162">
        <v>67</v>
      </c>
      <c r="G162">
        <v>11</v>
      </c>
      <c r="H162">
        <v>1</v>
      </c>
      <c r="I162">
        <v>0</v>
      </c>
      <c r="J162">
        <v>0</v>
      </c>
      <c r="K162">
        <v>1</v>
      </c>
      <c r="L162">
        <v>836</v>
      </c>
      <c r="M162">
        <f t="shared" si="4"/>
        <v>777.71320228297168</v>
      </c>
      <c r="N162">
        <f t="shared" si="5"/>
        <v>3397.3507881057781</v>
      </c>
    </row>
    <row r="163" spans="2:14" x14ac:dyDescent="0.3">
      <c r="B163">
        <v>31.353000000000002</v>
      </c>
      <c r="C163">
        <v>1705</v>
      </c>
      <c r="D163">
        <v>160</v>
      </c>
      <c r="E163">
        <v>3</v>
      </c>
      <c r="F163">
        <v>81</v>
      </c>
      <c r="G163">
        <v>14</v>
      </c>
      <c r="H163">
        <v>0</v>
      </c>
      <c r="I163">
        <v>0</v>
      </c>
      <c r="J163">
        <v>1</v>
      </c>
      <c r="K163">
        <v>1</v>
      </c>
      <c r="L163">
        <v>0</v>
      </c>
      <c r="M163">
        <f t="shared" si="4"/>
        <v>-233.1590516439295</v>
      </c>
      <c r="N163">
        <f t="shared" si="5"/>
        <v>54363.143363496587</v>
      </c>
    </row>
    <row r="164" spans="2:14" x14ac:dyDescent="0.3">
      <c r="B164">
        <v>63.808999999999997</v>
      </c>
      <c r="C164">
        <v>7530</v>
      </c>
      <c r="D164">
        <v>515</v>
      </c>
      <c r="E164">
        <v>1</v>
      </c>
      <c r="F164">
        <v>56</v>
      </c>
      <c r="G164">
        <v>12</v>
      </c>
      <c r="H164">
        <v>0</v>
      </c>
      <c r="I164">
        <v>0</v>
      </c>
      <c r="J164">
        <v>1</v>
      </c>
      <c r="K164">
        <v>1</v>
      </c>
      <c r="L164">
        <v>1086</v>
      </c>
      <c r="M164">
        <f t="shared" si="4"/>
        <v>1083.7361504931268</v>
      </c>
      <c r="N164">
        <f t="shared" si="5"/>
        <v>5.1250145897698367</v>
      </c>
    </row>
    <row r="165" spans="2:14" x14ac:dyDescent="0.3">
      <c r="B165">
        <v>13.676</v>
      </c>
      <c r="C165">
        <v>2330</v>
      </c>
      <c r="D165">
        <v>203</v>
      </c>
      <c r="E165">
        <v>5</v>
      </c>
      <c r="F165">
        <v>80</v>
      </c>
      <c r="G165">
        <v>16</v>
      </c>
      <c r="H165">
        <v>1</v>
      </c>
      <c r="I165">
        <v>0</v>
      </c>
      <c r="J165">
        <v>0</v>
      </c>
      <c r="K165">
        <v>0</v>
      </c>
      <c r="L165">
        <v>0</v>
      </c>
      <c r="M165">
        <f t="shared" si="4"/>
        <v>23.0240811557025</v>
      </c>
      <c r="N165">
        <f t="shared" si="5"/>
        <v>530.10831306437501</v>
      </c>
    </row>
    <row r="166" spans="2:14" x14ac:dyDescent="0.3">
      <c r="B166">
        <v>76.781999999999996</v>
      </c>
      <c r="C166">
        <v>5977</v>
      </c>
      <c r="D166">
        <v>429</v>
      </c>
      <c r="E166">
        <v>4</v>
      </c>
      <c r="F166">
        <v>44</v>
      </c>
      <c r="G166">
        <v>12</v>
      </c>
      <c r="H166">
        <v>0</v>
      </c>
      <c r="I166">
        <v>0</v>
      </c>
      <c r="J166">
        <v>1</v>
      </c>
      <c r="K166">
        <v>2</v>
      </c>
      <c r="L166">
        <v>548</v>
      </c>
      <c r="M166">
        <f t="shared" si="4"/>
        <v>637.0018853208544</v>
      </c>
      <c r="N166">
        <f t="shared" si="5"/>
        <v>7921.3355906665174</v>
      </c>
    </row>
    <row r="167" spans="2:14" x14ac:dyDescent="0.3">
      <c r="B167">
        <v>25.382999999999999</v>
      </c>
      <c r="C167">
        <v>4527</v>
      </c>
      <c r="D167">
        <v>367</v>
      </c>
      <c r="E167">
        <v>4</v>
      </c>
      <c r="F167">
        <v>46</v>
      </c>
      <c r="G167">
        <v>11</v>
      </c>
      <c r="H167">
        <v>0</v>
      </c>
      <c r="I167">
        <v>0</v>
      </c>
      <c r="J167">
        <v>1</v>
      </c>
      <c r="K167">
        <v>1</v>
      </c>
      <c r="L167">
        <v>570</v>
      </c>
      <c r="M167">
        <f t="shared" si="4"/>
        <v>655.40537890292728</v>
      </c>
      <c r="N167">
        <f t="shared" si="5"/>
        <v>7294.078745552576</v>
      </c>
    </row>
    <row r="168" spans="2:14" x14ac:dyDescent="0.3">
      <c r="B168">
        <v>35.691000000000003</v>
      </c>
      <c r="C168">
        <v>2880</v>
      </c>
      <c r="D168">
        <v>214</v>
      </c>
      <c r="E168">
        <v>2</v>
      </c>
      <c r="F168">
        <v>35</v>
      </c>
      <c r="G168">
        <v>15</v>
      </c>
      <c r="H168">
        <v>0</v>
      </c>
      <c r="I168">
        <v>0</v>
      </c>
      <c r="J168">
        <v>0</v>
      </c>
      <c r="K168">
        <v>0</v>
      </c>
      <c r="L168">
        <v>0</v>
      </c>
      <c r="M168">
        <f t="shared" si="4"/>
        <v>137.38224843707891</v>
      </c>
      <c r="N168">
        <f t="shared" si="5"/>
        <v>18873.882185627273</v>
      </c>
    </row>
    <row r="169" spans="2:14" x14ac:dyDescent="0.3">
      <c r="B169">
        <v>29.402999999999999</v>
      </c>
      <c r="C169">
        <v>2327</v>
      </c>
      <c r="D169">
        <v>178</v>
      </c>
      <c r="E169">
        <v>1</v>
      </c>
      <c r="F169">
        <v>37</v>
      </c>
      <c r="G169">
        <v>14</v>
      </c>
      <c r="H169">
        <v>1</v>
      </c>
      <c r="I169">
        <v>0</v>
      </c>
      <c r="J169">
        <v>1</v>
      </c>
      <c r="K169">
        <v>1</v>
      </c>
      <c r="L169">
        <v>0</v>
      </c>
      <c r="M169">
        <f t="shared" si="4"/>
        <v>53.626916218284542</v>
      </c>
      <c r="N169">
        <f t="shared" si="5"/>
        <v>2875.8461430829097</v>
      </c>
    </row>
    <row r="170" spans="2:14" x14ac:dyDescent="0.3">
      <c r="B170">
        <v>27.47</v>
      </c>
      <c r="C170">
        <v>2820</v>
      </c>
      <c r="D170">
        <v>219</v>
      </c>
      <c r="E170">
        <v>1</v>
      </c>
      <c r="F170">
        <v>32</v>
      </c>
      <c r="G170">
        <v>11</v>
      </c>
      <c r="H170">
        <v>1</v>
      </c>
      <c r="I170">
        <v>0</v>
      </c>
      <c r="J170">
        <v>1</v>
      </c>
      <c r="K170">
        <v>2</v>
      </c>
      <c r="L170">
        <v>0</v>
      </c>
      <c r="M170">
        <f t="shared" si="4"/>
        <v>249.99900627130864</v>
      </c>
      <c r="N170">
        <f t="shared" si="5"/>
        <v>62499.503136641819</v>
      </c>
    </row>
    <row r="171" spans="2:14" x14ac:dyDescent="0.3">
      <c r="B171">
        <v>27.33</v>
      </c>
      <c r="C171">
        <v>6179</v>
      </c>
      <c r="D171">
        <v>459</v>
      </c>
      <c r="E171">
        <v>4</v>
      </c>
      <c r="F171">
        <v>36</v>
      </c>
      <c r="G171">
        <v>12</v>
      </c>
      <c r="H171">
        <v>1</v>
      </c>
      <c r="I171">
        <v>0</v>
      </c>
      <c r="J171">
        <v>1</v>
      </c>
      <c r="K171">
        <v>1</v>
      </c>
      <c r="L171">
        <v>1099</v>
      </c>
      <c r="M171">
        <f t="shared" si="4"/>
        <v>1064.8836935002846</v>
      </c>
      <c r="N171">
        <f t="shared" si="5"/>
        <v>1163.9223691825227</v>
      </c>
    </row>
    <row r="172" spans="2:14" x14ac:dyDescent="0.3">
      <c r="B172">
        <v>34.771999999999998</v>
      </c>
      <c r="C172">
        <v>2021</v>
      </c>
      <c r="D172">
        <v>167</v>
      </c>
      <c r="E172">
        <v>3</v>
      </c>
      <c r="F172">
        <v>57</v>
      </c>
      <c r="G172">
        <v>9</v>
      </c>
      <c r="H172">
        <v>0</v>
      </c>
      <c r="I172">
        <v>0</v>
      </c>
      <c r="J172">
        <v>0</v>
      </c>
      <c r="K172">
        <v>2</v>
      </c>
      <c r="L172">
        <v>0</v>
      </c>
      <c r="M172">
        <f t="shared" si="4"/>
        <v>-37.456851636227668</v>
      </c>
      <c r="N172">
        <f t="shared" si="5"/>
        <v>1403.0157344983713</v>
      </c>
    </row>
    <row r="173" spans="2:14" x14ac:dyDescent="0.3">
      <c r="B173">
        <v>36.933999999999997</v>
      </c>
      <c r="C173">
        <v>4270</v>
      </c>
      <c r="D173">
        <v>299</v>
      </c>
      <c r="E173">
        <v>1</v>
      </c>
      <c r="F173">
        <v>63</v>
      </c>
      <c r="G173">
        <v>9</v>
      </c>
      <c r="H173">
        <v>1</v>
      </c>
      <c r="I173">
        <v>0</v>
      </c>
      <c r="J173">
        <v>1</v>
      </c>
      <c r="K173">
        <v>1</v>
      </c>
      <c r="L173">
        <v>283</v>
      </c>
      <c r="M173">
        <f t="shared" si="4"/>
        <v>490.74568210055389</v>
      </c>
      <c r="N173">
        <f t="shared" si="5"/>
        <v>43158.268431424396</v>
      </c>
    </row>
    <row r="174" spans="2:14" x14ac:dyDescent="0.3">
      <c r="B174">
        <v>76.347999999999999</v>
      </c>
      <c r="C174">
        <v>4697</v>
      </c>
      <c r="D174">
        <v>344</v>
      </c>
      <c r="E174">
        <v>4</v>
      </c>
      <c r="F174">
        <v>60</v>
      </c>
      <c r="G174">
        <v>18</v>
      </c>
      <c r="H174">
        <v>0</v>
      </c>
      <c r="I174">
        <v>0</v>
      </c>
      <c r="J174">
        <v>0</v>
      </c>
      <c r="K174">
        <v>2</v>
      </c>
      <c r="L174">
        <v>108</v>
      </c>
      <c r="M174">
        <f t="shared" si="4"/>
        <v>185.14496113224371</v>
      </c>
      <c r="N174">
        <f t="shared" si="5"/>
        <v>5951.3450280953921</v>
      </c>
    </row>
    <row r="175" spans="2:14" x14ac:dyDescent="0.3">
      <c r="B175">
        <v>14.887</v>
      </c>
      <c r="C175">
        <v>4745</v>
      </c>
      <c r="D175">
        <v>339</v>
      </c>
      <c r="E175">
        <v>3</v>
      </c>
      <c r="F175">
        <v>58</v>
      </c>
      <c r="G175">
        <v>12</v>
      </c>
      <c r="H175">
        <v>0</v>
      </c>
      <c r="I175">
        <v>0</v>
      </c>
      <c r="J175">
        <v>1</v>
      </c>
      <c r="K175">
        <v>0</v>
      </c>
      <c r="L175">
        <v>724</v>
      </c>
      <c r="M175">
        <f t="shared" si="4"/>
        <v>736.70208787324589</v>
      </c>
      <c r="N175">
        <f t="shared" si="5"/>
        <v>161.34303633966022</v>
      </c>
    </row>
    <row r="176" spans="2:14" x14ac:dyDescent="0.3">
      <c r="B176">
        <v>121.834</v>
      </c>
      <c r="C176">
        <v>10673</v>
      </c>
      <c r="D176">
        <v>750</v>
      </c>
      <c r="E176">
        <v>3</v>
      </c>
      <c r="F176">
        <v>54</v>
      </c>
      <c r="G176">
        <v>16</v>
      </c>
      <c r="H176">
        <v>0</v>
      </c>
      <c r="I176">
        <v>0</v>
      </c>
      <c r="J176">
        <v>0</v>
      </c>
      <c r="K176">
        <v>0</v>
      </c>
      <c r="L176">
        <v>1573</v>
      </c>
      <c r="M176">
        <f t="shared" si="4"/>
        <v>1396.2211661542992</v>
      </c>
      <c r="N176">
        <f t="shared" si="5"/>
        <v>31250.756095845882</v>
      </c>
    </row>
    <row r="177" spans="2:14" x14ac:dyDescent="0.3">
      <c r="B177">
        <v>30.132000000000001</v>
      </c>
      <c r="C177">
        <v>2168</v>
      </c>
      <c r="D177">
        <v>206</v>
      </c>
      <c r="E177">
        <v>3</v>
      </c>
      <c r="F177">
        <v>52</v>
      </c>
      <c r="G177">
        <v>17</v>
      </c>
      <c r="H177">
        <v>0</v>
      </c>
      <c r="I177">
        <v>0</v>
      </c>
      <c r="J177">
        <v>0</v>
      </c>
      <c r="K177">
        <v>1</v>
      </c>
      <c r="L177">
        <v>0</v>
      </c>
      <c r="M177">
        <f t="shared" si="4"/>
        <v>-76.421466877218094</v>
      </c>
      <c r="N177">
        <f t="shared" si="5"/>
        <v>5840.2405996657426</v>
      </c>
    </row>
    <row r="178" spans="2:14" x14ac:dyDescent="0.3">
      <c r="B178">
        <v>24.05</v>
      </c>
      <c r="C178">
        <v>2607</v>
      </c>
      <c r="D178">
        <v>221</v>
      </c>
      <c r="E178">
        <v>4</v>
      </c>
      <c r="F178">
        <v>32</v>
      </c>
      <c r="G178">
        <v>18</v>
      </c>
      <c r="H178">
        <v>0</v>
      </c>
      <c r="I178">
        <v>0</v>
      </c>
      <c r="J178">
        <v>1</v>
      </c>
      <c r="K178">
        <v>1</v>
      </c>
      <c r="L178">
        <v>0</v>
      </c>
      <c r="M178">
        <f t="shared" si="4"/>
        <v>115.93401355106279</v>
      </c>
      <c r="N178">
        <f t="shared" si="5"/>
        <v>13440.69549805801</v>
      </c>
    </row>
    <row r="179" spans="2:14" x14ac:dyDescent="0.3">
      <c r="B179">
        <v>22.379000000000001</v>
      </c>
      <c r="C179">
        <v>3965</v>
      </c>
      <c r="D179">
        <v>292</v>
      </c>
      <c r="E179">
        <v>2</v>
      </c>
      <c r="F179">
        <v>34</v>
      </c>
      <c r="G179">
        <v>14</v>
      </c>
      <c r="H179">
        <v>1</v>
      </c>
      <c r="I179">
        <v>0</v>
      </c>
      <c r="J179">
        <v>1</v>
      </c>
      <c r="K179">
        <v>2</v>
      </c>
      <c r="L179">
        <v>384</v>
      </c>
      <c r="M179">
        <f t="shared" si="4"/>
        <v>521.16429810502655</v>
      </c>
      <c r="N179">
        <f t="shared" si="5"/>
        <v>18814.044674644589</v>
      </c>
    </row>
    <row r="180" spans="2:14" x14ac:dyDescent="0.3">
      <c r="B180">
        <v>28.315999999999999</v>
      </c>
      <c r="C180">
        <v>4391</v>
      </c>
      <c r="D180">
        <v>316</v>
      </c>
      <c r="E180">
        <v>2</v>
      </c>
      <c r="F180">
        <v>29</v>
      </c>
      <c r="G180">
        <v>10</v>
      </c>
      <c r="H180">
        <v>1</v>
      </c>
      <c r="I180">
        <v>0</v>
      </c>
      <c r="J180">
        <v>0</v>
      </c>
      <c r="K180">
        <v>1</v>
      </c>
      <c r="L180">
        <v>453</v>
      </c>
      <c r="M180">
        <f t="shared" si="4"/>
        <v>660.12445425050009</v>
      </c>
      <c r="N180">
        <f t="shared" si="5"/>
        <v>42900.539548567504</v>
      </c>
    </row>
    <row r="181" spans="2:14" x14ac:dyDescent="0.3">
      <c r="B181">
        <v>58.026000000000003</v>
      </c>
      <c r="C181">
        <v>7499</v>
      </c>
      <c r="D181">
        <v>560</v>
      </c>
      <c r="E181">
        <v>5</v>
      </c>
      <c r="F181">
        <v>67</v>
      </c>
      <c r="G181">
        <v>11</v>
      </c>
      <c r="H181">
        <v>1</v>
      </c>
      <c r="I181">
        <v>0</v>
      </c>
      <c r="J181">
        <v>0</v>
      </c>
      <c r="K181">
        <v>1</v>
      </c>
      <c r="L181">
        <v>1237</v>
      </c>
      <c r="M181">
        <f t="shared" si="4"/>
        <v>1105.7192743188104</v>
      </c>
      <c r="N181">
        <f t="shared" si="5"/>
        <v>17234.62893537974</v>
      </c>
    </row>
    <row r="182" spans="2:14" x14ac:dyDescent="0.3">
      <c r="B182">
        <v>10.635</v>
      </c>
      <c r="C182">
        <v>3584</v>
      </c>
      <c r="D182">
        <v>294</v>
      </c>
      <c r="E182">
        <v>5</v>
      </c>
      <c r="F182">
        <v>69</v>
      </c>
      <c r="G182">
        <v>16</v>
      </c>
      <c r="H182">
        <v>0</v>
      </c>
      <c r="I182">
        <v>0</v>
      </c>
      <c r="J182">
        <v>1</v>
      </c>
      <c r="K182">
        <v>2</v>
      </c>
      <c r="L182">
        <v>423</v>
      </c>
      <c r="M182">
        <f t="shared" si="4"/>
        <v>387.09294620249511</v>
      </c>
      <c r="N182">
        <f t="shared" si="5"/>
        <v>1289.3165124169102</v>
      </c>
    </row>
    <row r="183" spans="2:14" x14ac:dyDescent="0.3">
      <c r="B183">
        <v>46.101999999999997</v>
      </c>
      <c r="C183">
        <v>5180</v>
      </c>
      <c r="D183">
        <v>382</v>
      </c>
      <c r="E183">
        <v>3</v>
      </c>
      <c r="F183">
        <v>81</v>
      </c>
      <c r="G183">
        <v>12</v>
      </c>
      <c r="H183">
        <v>0</v>
      </c>
      <c r="I183">
        <v>0</v>
      </c>
      <c r="J183">
        <v>1</v>
      </c>
      <c r="K183">
        <v>0</v>
      </c>
      <c r="L183">
        <v>516</v>
      </c>
      <c r="M183">
        <f t="shared" si="4"/>
        <v>558.74379847259263</v>
      </c>
      <c r="N183">
        <f t="shared" si="5"/>
        <v>1827.032307865612</v>
      </c>
    </row>
    <row r="184" spans="2:14" x14ac:dyDescent="0.3">
      <c r="B184">
        <v>58.929000000000002</v>
      </c>
      <c r="C184">
        <v>6420</v>
      </c>
      <c r="D184">
        <v>459</v>
      </c>
      <c r="E184">
        <v>2</v>
      </c>
      <c r="F184">
        <v>66</v>
      </c>
      <c r="G184">
        <v>9</v>
      </c>
      <c r="H184">
        <v>1</v>
      </c>
      <c r="I184">
        <v>0</v>
      </c>
      <c r="J184">
        <v>1</v>
      </c>
      <c r="K184">
        <v>0</v>
      </c>
      <c r="L184">
        <v>789</v>
      </c>
      <c r="M184">
        <f t="shared" si="4"/>
        <v>861.91549545676469</v>
      </c>
      <c r="N184">
        <f t="shared" si="5"/>
        <v>5316.6694777054718</v>
      </c>
    </row>
    <row r="185" spans="2:14" x14ac:dyDescent="0.3">
      <c r="B185">
        <v>80.861000000000004</v>
      </c>
      <c r="C185">
        <v>4090</v>
      </c>
      <c r="D185">
        <v>335</v>
      </c>
      <c r="E185">
        <v>3</v>
      </c>
      <c r="F185">
        <v>29</v>
      </c>
      <c r="G185">
        <v>15</v>
      </c>
      <c r="H185">
        <v>1</v>
      </c>
      <c r="I185">
        <v>0</v>
      </c>
      <c r="J185">
        <v>1</v>
      </c>
      <c r="K185">
        <v>2</v>
      </c>
      <c r="L185">
        <v>0</v>
      </c>
      <c r="M185">
        <f t="shared" si="4"/>
        <v>130.98235718570001</v>
      </c>
      <c r="N185">
        <f t="shared" si="5"/>
        <v>17156.377893922298</v>
      </c>
    </row>
    <row r="186" spans="2:14" x14ac:dyDescent="0.3">
      <c r="B186">
        <v>158.88900000000001</v>
      </c>
      <c r="C186">
        <v>11589</v>
      </c>
      <c r="D186">
        <v>805</v>
      </c>
      <c r="E186">
        <v>1</v>
      </c>
      <c r="F186">
        <v>62</v>
      </c>
      <c r="G186">
        <v>17</v>
      </c>
      <c r="H186">
        <v>1</v>
      </c>
      <c r="I186">
        <v>0</v>
      </c>
      <c r="J186">
        <v>1</v>
      </c>
      <c r="K186">
        <v>1</v>
      </c>
      <c r="L186">
        <v>1448</v>
      </c>
      <c r="M186">
        <f t="shared" si="4"/>
        <v>1319.7376382921495</v>
      </c>
      <c r="N186">
        <f t="shared" si="5"/>
        <v>16451.233430875465</v>
      </c>
    </row>
    <row r="187" spans="2:14" x14ac:dyDescent="0.3">
      <c r="B187">
        <v>30.42</v>
      </c>
      <c r="C187">
        <v>4442</v>
      </c>
      <c r="D187">
        <v>316</v>
      </c>
      <c r="E187">
        <v>1</v>
      </c>
      <c r="F187">
        <v>30</v>
      </c>
      <c r="G187">
        <v>14</v>
      </c>
      <c r="H187">
        <v>1</v>
      </c>
      <c r="I187">
        <v>0</v>
      </c>
      <c r="J187">
        <v>0</v>
      </c>
      <c r="K187">
        <v>0</v>
      </c>
      <c r="L187">
        <v>450</v>
      </c>
      <c r="M187">
        <f t="shared" si="4"/>
        <v>593.18077187544327</v>
      </c>
      <c r="N187">
        <f t="shared" si="5"/>
        <v>20500.733434847727</v>
      </c>
    </row>
    <row r="188" spans="2:14" x14ac:dyDescent="0.3">
      <c r="B188">
        <v>36.472000000000001</v>
      </c>
      <c r="C188">
        <v>3806</v>
      </c>
      <c r="D188">
        <v>309</v>
      </c>
      <c r="E188">
        <v>2</v>
      </c>
      <c r="F188">
        <v>52</v>
      </c>
      <c r="G188">
        <v>13</v>
      </c>
      <c r="H188">
        <v>0</v>
      </c>
      <c r="I188">
        <v>0</v>
      </c>
      <c r="J188">
        <v>0</v>
      </c>
      <c r="K188">
        <v>0</v>
      </c>
      <c r="L188">
        <v>188</v>
      </c>
      <c r="M188">
        <f t="shared" si="4"/>
        <v>347.92165609047777</v>
      </c>
      <c r="N188">
        <f t="shared" si="5"/>
        <v>25574.936086721045</v>
      </c>
    </row>
    <row r="189" spans="2:14" x14ac:dyDescent="0.3">
      <c r="B189">
        <v>23.364999999999998</v>
      </c>
      <c r="C189">
        <v>2179</v>
      </c>
      <c r="D189">
        <v>167</v>
      </c>
      <c r="E189">
        <v>2</v>
      </c>
      <c r="F189">
        <v>75</v>
      </c>
      <c r="G189">
        <v>15</v>
      </c>
      <c r="H189">
        <v>0</v>
      </c>
      <c r="I189">
        <v>0</v>
      </c>
      <c r="J189">
        <v>0</v>
      </c>
      <c r="K189">
        <v>2</v>
      </c>
      <c r="L189">
        <v>0</v>
      </c>
      <c r="M189">
        <f t="shared" si="4"/>
        <v>-57.748422309832989</v>
      </c>
      <c r="N189">
        <f t="shared" si="5"/>
        <v>3334.8802792748165</v>
      </c>
    </row>
    <row r="190" spans="2:14" x14ac:dyDescent="0.3">
      <c r="B190">
        <v>83.869</v>
      </c>
      <c r="C190">
        <v>7667</v>
      </c>
      <c r="D190">
        <v>554</v>
      </c>
      <c r="E190">
        <v>2</v>
      </c>
      <c r="F190">
        <v>83</v>
      </c>
      <c r="G190">
        <v>11</v>
      </c>
      <c r="H190">
        <v>0</v>
      </c>
      <c r="I190">
        <v>0</v>
      </c>
      <c r="J190">
        <v>0</v>
      </c>
      <c r="K190">
        <v>0</v>
      </c>
      <c r="L190">
        <v>930</v>
      </c>
      <c r="M190">
        <f t="shared" si="4"/>
        <v>917.20812852108611</v>
      </c>
      <c r="N190">
        <f t="shared" si="5"/>
        <v>163.63197593305063</v>
      </c>
    </row>
    <row r="191" spans="2:14" x14ac:dyDescent="0.3">
      <c r="B191">
        <v>58.350999999999999</v>
      </c>
      <c r="C191">
        <v>4411</v>
      </c>
      <c r="D191">
        <v>326</v>
      </c>
      <c r="E191">
        <v>2</v>
      </c>
      <c r="F191">
        <v>85</v>
      </c>
      <c r="G191">
        <v>16</v>
      </c>
      <c r="H191">
        <v>1</v>
      </c>
      <c r="I191">
        <v>0</v>
      </c>
      <c r="J191">
        <v>1</v>
      </c>
      <c r="K191">
        <v>1</v>
      </c>
      <c r="L191">
        <v>126</v>
      </c>
      <c r="M191">
        <f t="shared" si="4"/>
        <v>205.41141766162997</v>
      </c>
      <c r="N191">
        <f t="shared" si="5"/>
        <v>6306.1732550298366</v>
      </c>
    </row>
    <row r="192" spans="2:14" x14ac:dyDescent="0.3">
      <c r="B192">
        <v>55.186999999999998</v>
      </c>
      <c r="C192">
        <v>5352</v>
      </c>
      <c r="D192">
        <v>385</v>
      </c>
      <c r="E192">
        <v>4</v>
      </c>
      <c r="F192">
        <v>50</v>
      </c>
      <c r="G192">
        <v>17</v>
      </c>
      <c r="H192">
        <v>1</v>
      </c>
      <c r="I192">
        <v>0</v>
      </c>
      <c r="J192">
        <v>1</v>
      </c>
      <c r="K192">
        <v>1</v>
      </c>
      <c r="L192">
        <v>538</v>
      </c>
      <c r="M192">
        <f t="shared" si="4"/>
        <v>543.26663913269215</v>
      </c>
      <c r="N192">
        <f t="shared" si="5"/>
        <v>27.737487754004306</v>
      </c>
    </row>
    <row r="193" spans="2:14" x14ac:dyDescent="0.3">
      <c r="B193">
        <v>124.29</v>
      </c>
      <c r="C193">
        <v>9560</v>
      </c>
      <c r="D193">
        <v>701</v>
      </c>
      <c r="E193">
        <v>3</v>
      </c>
      <c r="F193">
        <v>52</v>
      </c>
      <c r="G193">
        <v>17</v>
      </c>
      <c r="H193">
        <v>1</v>
      </c>
      <c r="I193">
        <v>1</v>
      </c>
      <c r="J193">
        <v>0</v>
      </c>
      <c r="K193">
        <v>2</v>
      </c>
      <c r="L193">
        <v>1687</v>
      </c>
      <c r="M193">
        <f t="shared" si="4"/>
        <v>1399.5156856058454</v>
      </c>
      <c r="N193">
        <f t="shared" si="5"/>
        <v>82647.231022677108</v>
      </c>
    </row>
    <row r="194" spans="2:14" x14ac:dyDescent="0.3">
      <c r="B194">
        <v>28.507999999999999</v>
      </c>
      <c r="C194">
        <v>3933</v>
      </c>
      <c r="D194">
        <v>287</v>
      </c>
      <c r="E194">
        <v>4</v>
      </c>
      <c r="F194">
        <v>56</v>
      </c>
      <c r="G194">
        <v>14</v>
      </c>
      <c r="H194">
        <v>0</v>
      </c>
      <c r="I194">
        <v>0</v>
      </c>
      <c r="J194">
        <v>1</v>
      </c>
      <c r="K194">
        <v>2</v>
      </c>
      <c r="L194">
        <v>336</v>
      </c>
      <c r="M194">
        <f t="shared" si="4"/>
        <v>410.779428474236</v>
      </c>
      <c r="N194">
        <f t="shared" si="5"/>
        <v>5591.9629229333777</v>
      </c>
    </row>
    <row r="195" spans="2:14" x14ac:dyDescent="0.3">
      <c r="B195">
        <v>130.209</v>
      </c>
      <c r="C195">
        <v>10088</v>
      </c>
      <c r="D195">
        <v>730</v>
      </c>
      <c r="E195">
        <v>7</v>
      </c>
      <c r="F195">
        <v>39</v>
      </c>
      <c r="G195">
        <v>19</v>
      </c>
      <c r="H195">
        <v>1</v>
      </c>
      <c r="I195">
        <v>0</v>
      </c>
      <c r="J195">
        <v>1</v>
      </c>
      <c r="K195">
        <v>1</v>
      </c>
      <c r="L195">
        <v>1426</v>
      </c>
      <c r="M195">
        <f t="shared" ref="M195:M258" si="6">$Q$3+$Q$4*B195+$Q$5*C195+$Q$6*D195+$Q$7*E195+$Q$8*F195+$Q$9*G195+$Q$10*H195+$Q$11*I195+$Q$12*J195+$Q$13*K195</f>
        <v>1186.3923845659933</v>
      </c>
      <c r="N195">
        <f t="shared" ref="N195:N258" si="7">(L195-M195)^2</f>
        <v>57411.809373970835</v>
      </c>
    </row>
    <row r="196" spans="2:14" x14ac:dyDescent="0.3">
      <c r="B196">
        <v>30.405999999999999</v>
      </c>
      <c r="C196">
        <v>2120</v>
      </c>
      <c r="D196">
        <v>181</v>
      </c>
      <c r="E196">
        <v>2</v>
      </c>
      <c r="F196">
        <v>79</v>
      </c>
      <c r="G196">
        <v>14</v>
      </c>
      <c r="H196">
        <v>0</v>
      </c>
      <c r="I196">
        <v>0</v>
      </c>
      <c r="J196">
        <v>1</v>
      </c>
      <c r="K196">
        <v>0</v>
      </c>
      <c r="L196">
        <v>0</v>
      </c>
      <c r="M196">
        <f t="shared" si="6"/>
        <v>-117.70703775721546</v>
      </c>
      <c r="N196">
        <f t="shared" si="7"/>
        <v>13854.946737578546</v>
      </c>
    </row>
    <row r="197" spans="2:14" x14ac:dyDescent="0.3">
      <c r="B197">
        <v>23.882999999999999</v>
      </c>
      <c r="C197">
        <v>5384</v>
      </c>
      <c r="D197">
        <v>398</v>
      </c>
      <c r="E197">
        <v>2</v>
      </c>
      <c r="F197">
        <v>73</v>
      </c>
      <c r="G197">
        <v>16</v>
      </c>
      <c r="H197">
        <v>1</v>
      </c>
      <c r="I197">
        <v>0</v>
      </c>
      <c r="J197">
        <v>1</v>
      </c>
      <c r="K197">
        <v>0</v>
      </c>
      <c r="L197">
        <v>802</v>
      </c>
      <c r="M197">
        <f t="shared" si="6"/>
        <v>728.78769831656257</v>
      </c>
      <c r="N197">
        <f t="shared" si="7"/>
        <v>5360.0411177866554</v>
      </c>
    </row>
    <row r="198" spans="2:14" x14ac:dyDescent="0.3">
      <c r="B198">
        <v>93.039000000000001</v>
      </c>
      <c r="C198">
        <v>7398</v>
      </c>
      <c r="D198">
        <v>517</v>
      </c>
      <c r="E198">
        <v>1</v>
      </c>
      <c r="F198">
        <v>67</v>
      </c>
      <c r="G198">
        <v>12</v>
      </c>
      <c r="H198">
        <v>0</v>
      </c>
      <c r="I198">
        <v>0</v>
      </c>
      <c r="J198">
        <v>1</v>
      </c>
      <c r="K198">
        <v>0</v>
      </c>
      <c r="L198">
        <v>749</v>
      </c>
      <c r="M198">
        <f t="shared" si="6"/>
        <v>811.33840617773888</v>
      </c>
      <c r="N198">
        <f t="shared" si="7"/>
        <v>3886.0768847807522</v>
      </c>
    </row>
    <row r="199" spans="2:14" x14ac:dyDescent="0.3">
      <c r="B199">
        <v>50.698999999999998</v>
      </c>
      <c r="C199">
        <v>3977</v>
      </c>
      <c r="D199">
        <v>304</v>
      </c>
      <c r="E199">
        <v>2</v>
      </c>
      <c r="F199">
        <v>84</v>
      </c>
      <c r="G199">
        <v>17</v>
      </c>
      <c r="H199">
        <v>1</v>
      </c>
      <c r="I199">
        <v>0</v>
      </c>
      <c r="J199">
        <v>0</v>
      </c>
      <c r="K199">
        <v>0</v>
      </c>
      <c r="L199">
        <v>69</v>
      </c>
      <c r="M199">
        <f t="shared" si="6"/>
        <v>139.84125015140404</v>
      </c>
      <c r="N199">
        <f t="shared" si="7"/>
        <v>5018.4827230138026</v>
      </c>
    </row>
    <row r="200" spans="2:14" x14ac:dyDescent="0.3">
      <c r="B200">
        <v>27.349</v>
      </c>
      <c r="C200">
        <v>2000</v>
      </c>
      <c r="D200">
        <v>169</v>
      </c>
      <c r="E200">
        <v>4</v>
      </c>
      <c r="F200">
        <v>51</v>
      </c>
      <c r="G200">
        <v>16</v>
      </c>
      <c r="H200">
        <v>1</v>
      </c>
      <c r="I200">
        <v>0</v>
      </c>
      <c r="J200">
        <v>1</v>
      </c>
      <c r="K200">
        <v>0</v>
      </c>
      <c r="L200">
        <v>0</v>
      </c>
      <c r="M200">
        <f t="shared" si="6"/>
        <v>-79.791497701372919</v>
      </c>
      <c r="N200">
        <f t="shared" si="7"/>
        <v>6366.6831054282002</v>
      </c>
    </row>
    <row r="201" spans="2:14" x14ac:dyDescent="0.3">
      <c r="B201">
        <v>10.403</v>
      </c>
      <c r="C201">
        <v>4159</v>
      </c>
      <c r="D201">
        <v>310</v>
      </c>
      <c r="E201">
        <v>3</v>
      </c>
      <c r="F201">
        <v>43</v>
      </c>
      <c r="G201">
        <v>7</v>
      </c>
      <c r="H201">
        <v>0</v>
      </c>
      <c r="I201">
        <v>0</v>
      </c>
      <c r="J201">
        <v>1</v>
      </c>
      <c r="K201">
        <v>2</v>
      </c>
      <c r="L201">
        <v>571</v>
      </c>
      <c r="M201">
        <f t="shared" si="6"/>
        <v>739.78029947753555</v>
      </c>
      <c r="N201">
        <f t="shared" si="7"/>
        <v>28486.789491726588</v>
      </c>
    </row>
    <row r="202" spans="2:14" x14ac:dyDescent="0.3">
      <c r="B202">
        <v>23.949000000000002</v>
      </c>
      <c r="C202">
        <v>5343</v>
      </c>
      <c r="D202">
        <v>383</v>
      </c>
      <c r="E202">
        <v>2</v>
      </c>
      <c r="F202">
        <v>40</v>
      </c>
      <c r="G202">
        <v>18</v>
      </c>
      <c r="H202">
        <v>0</v>
      </c>
      <c r="I202">
        <v>0</v>
      </c>
      <c r="J202">
        <v>1</v>
      </c>
      <c r="K202">
        <v>0</v>
      </c>
      <c r="L202">
        <v>829</v>
      </c>
      <c r="M202">
        <f t="shared" si="6"/>
        <v>776.60074271768804</v>
      </c>
      <c r="N202">
        <f t="shared" si="7"/>
        <v>2745.6821637379235</v>
      </c>
    </row>
    <row r="203" spans="2:14" x14ac:dyDescent="0.3">
      <c r="B203">
        <v>73.914000000000001</v>
      </c>
      <c r="C203">
        <v>7333</v>
      </c>
      <c r="D203">
        <v>529</v>
      </c>
      <c r="E203">
        <v>6</v>
      </c>
      <c r="F203">
        <v>67</v>
      </c>
      <c r="G203">
        <v>15</v>
      </c>
      <c r="H203">
        <v>1</v>
      </c>
      <c r="I203">
        <v>0</v>
      </c>
      <c r="J203">
        <v>1</v>
      </c>
      <c r="K203">
        <v>1</v>
      </c>
      <c r="L203">
        <v>1048</v>
      </c>
      <c r="M203">
        <f t="shared" si="6"/>
        <v>888.85094517453126</v>
      </c>
      <c r="N203">
        <f t="shared" si="7"/>
        <v>25328.421651840054</v>
      </c>
    </row>
    <row r="204" spans="2:14" x14ac:dyDescent="0.3">
      <c r="B204">
        <v>21.038</v>
      </c>
      <c r="C204">
        <v>1448</v>
      </c>
      <c r="D204">
        <v>145</v>
      </c>
      <c r="E204">
        <v>2</v>
      </c>
      <c r="F204">
        <v>58</v>
      </c>
      <c r="G204">
        <v>13</v>
      </c>
      <c r="H204">
        <v>1</v>
      </c>
      <c r="I204">
        <v>0</v>
      </c>
      <c r="J204">
        <v>1</v>
      </c>
      <c r="K204">
        <v>1</v>
      </c>
      <c r="L204">
        <v>0</v>
      </c>
      <c r="M204">
        <f t="shared" si="6"/>
        <v>-146.15163416161573</v>
      </c>
      <c r="N204">
        <f t="shared" si="7"/>
        <v>21360.300168110763</v>
      </c>
    </row>
    <row r="205" spans="2:14" x14ac:dyDescent="0.3">
      <c r="B205">
        <v>68.206000000000003</v>
      </c>
      <c r="C205">
        <v>6784</v>
      </c>
      <c r="D205">
        <v>499</v>
      </c>
      <c r="E205">
        <v>5</v>
      </c>
      <c r="F205">
        <v>40</v>
      </c>
      <c r="G205">
        <v>16</v>
      </c>
      <c r="H205">
        <v>1</v>
      </c>
      <c r="I205">
        <v>1</v>
      </c>
      <c r="J205">
        <v>0</v>
      </c>
      <c r="K205">
        <v>0</v>
      </c>
      <c r="L205">
        <v>1411</v>
      </c>
      <c r="M205">
        <f t="shared" si="6"/>
        <v>1159.5145984818071</v>
      </c>
      <c r="N205">
        <f t="shared" si="7"/>
        <v>63244.907176766712</v>
      </c>
    </row>
    <row r="206" spans="2:14" x14ac:dyDescent="0.3">
      <c r="B206">
        <v>57.337000000000003</v>
      </c>
      <c r="C206">
        <v>5310</v>
      </c>
      <c r="D206">
        <v>392</v>
      </c>
      <c r="E206">
        <v>2</v>
      </c>
      <c r="F206">
        <v>45</v>
      </c>
      <c r="G206">
        <v>7</v>
      </c>
      <c r="H206">
        <v>1</v>
      </c>
      <c r="I206">
        <v>0</v>
      </c>
      <c r="J206">
        <v>0</v>
      </c>
      <c r="K206">
        <v>1</v>
      </c>
      <c r="L206">
        <v>456</v>
      </c>
      <c r="M206">
        <f t="shared" si="6"/>
        <v>683.81165674779561</v>
      </c>
      <c r="N206">
        <f t="shared" si="7"/>
        <v>51898.150950175448</v>
      </c>
    </row>
    <row r="207" spans="2:14" x14ac:dyDescent="0.3">
      <c r="B207">
        <v>10.792999999999999</v>
      </c>
      <c r="C207">
        <v>3878</v>
      </c>
      <c r="D207">
        <v>321</v>
      </c>
      <c r="E207">
        <v>8</v>
      </c>
      <c r="F207">
        <v>29</v>
      </c>
      <c r="G207">
        <v>13</v>
      </c>
      <c r="H207">
        <v>0</v>
      </c>
      <c r="I207">
        <v>0</v>
      </c>
      <c r="J207">
        <v>0</v>
      </c>
      <c r="K207">
        <v>1</v>
      </c>
      <c r="L207">
        <v>638</v>
      </c>
      <c r="M207">
        <f t="shared" si="6"/>
        <v>615.71989668953006</v>
      </c>
      <c r="N207">
        <f t="shared" si="7"/>
        <v>496.40300352521359</v>
      </c>
    </row>
    <row r="208" spans="2:14" x14ac:dyDescent="0.3">
      <c r="B208">
        <v>23.45</v>
      </c>
      <c r="C208">
        <v>2450</v>
      </c>
      <c r="D208">
        <v>180</v>
      </c>
      <c r="E208">
        <v>2</v>
      </c>
      <c r="F208">
        <v>78</v>
      </c>
      <c r="G208">
        <v>13</v>
      </c>
      <c r="H208">
        <v>0</v>
      </c>
      <c r="I208">
        <v>0</v>
      </c>
      <c r="J208">
        <v>0</v>
      </c>
      <c r="K208">
        <v>1</v>
      </c>
      <c r="L208">
        <v>0</v>
      </c>
      <c r="M208">
        <f t="shared" si="6"/>
        <v>32.171998437425529</v>
      </c>
      <c r="N208">
        <f t="shared" si="7"/>
        <v>1035.0374834577108</v>
      </c>
    </row>
    <row r="209" spans="2:14" x14ac:dyDescent="0.3">
      <c r="B209">
        <v>10.842000000000001</v>
      </c>
      <c r="C209">
        <v>4391</v>
      </c>
      <c r="D209">
        <v>358</v>
      </c>
      <c r="E209">
        <v>5</v>
      </c>
      <c r="F209">
        <v>37</v>
      </c>
      <c r="G209">
        <v>10</v>
      </c>
      <c r="H209">
        <v>1</v>
      </c>
      <c r="I209">
        <v>1</v>
      </c>
      <c r="J209">
        <v>1</v>
      </c>
      <c r="K209">
        <v>1</v>
      </c>
      <c r="L209">
        <v>1216</v>
      </c>
      <c r="M209">
        <f t="shared" si="6"/>
        <v>1075.2439225229484</v>
      </c>
      <c r="N209">
        <f t="shared" si="7"/>
        <v>19812.273346725746</v>
      </c>
    </row>
    <row r="210" spans="2:14" x14ac:dyDescent="0.3">
      <c r="B210">
        <v>51.344999999999999</v>
      </c>
      <c r="C210">
        <v>4327</v>
      </c>
      <c r="D210">
        <v>320</v>
      </c>
      <c r="E210">
        <v>3</v>
      </c>
      <c r="F210">
        <v>46</v>
      </c>
      <c r="G210">
        <v>15</v>
      </c>
      <c r="H210">
        <v>0</v>
      </c>
      <c r="I210">
        <v>0</v>
      </c>
      <c r="J210">
        <v>0</v>
      </c>
      <c r="K210">
        <v>0</v>
      </c>
      <c r="L210">
        <v>230</v>
      </c>
      <c r="M210">
        <f t="shared" si="6"/>
        <v>356.7213824474959</v>
      </c>
      <c r="N210">
        <f t="shared" si="7"/>
        <v>16058.308769404521</v>
      </c>
    </row>
    <row r="211" spans="2:14" x14ac:dyDescent="0.3">
      <c r="B211">
        <v>151.947</v>
      </c>
      <c r="C211">
        <v>9156</v>
      </c>
      <c r="D211">
        <v>642</v>
      </c>
      <c r="E211">
        <v>2</v>
      </c>
      <c r="F211">
        <v>91</v>
      </c>
      <c r="G211">
        <v>11</v>
      </c>
      <c r="H211">
        <v>1</v>
      </c>
      <c r="I211">
        <v>0</v>
      </c>
      <c r="J211">
        <v>1</v>
      </c>
      <c r="K211">
        <v>0</v>
      </c>
      <c r="L211">
        <v>732</v>
      </c>
      <c r="M211">
        <f t="shared" si="6"/>
        <v>777.38621494787049</v>
      </c>
      <c r="N211">
        <f t="shared" si="7"/>
        <v>2059.9085072943021</v>
      </c>
    </row>
    <row r="212" spans="2:14" x14ac:dyDescent="0.3">
      <c r="B212">
        <v>24.542999999999999</v>
      </c>
      <c r="C212">
        <v>3206</v>
      </c>
      <c r="D212">
        <v>243</v>
      </c>
      <c r="E212">
        <v>2</v>
      </c>
      <c r="F212">
        <v>62</v>
      </c>
      <c r="G212">
        <v>12</v>
      </c>
      <c r="H212">
        <v>1</v>
      </c>
      <c r="I212">
        <v>0</v>
      </c>
      <c r="J212">
        <v>1</v>
      </c>
      <c r="K212">
        <v>1</v>
      </c>
      <c r="L212">
        <v>95</v>
      </c>
      <c r="M212">
        <f t="shared" si="6"/>
        <v>271.60124391858449</v>
      </c>
      <c r="N212">
        <f t="shared" si="7"/>
        <v>31187.999353591375</v>
      </c>
    </row>
    <row r="213" spans="2:14" x14ac:dyDescent="0.3">
      <c r="B213">
        <v>29.567</v>
      </c>
      <c r="C213">
        <v>5309</v>
      </c>
      <c r="D213">
        <v>397</v>
      </c>
      <c r="E213">
        <v>3</v>
      </c>
      <c r="F213">
        <v>25</v>
      </c>
      <c r="G213">
        <v>15</v>
      </c>
      <c r="H213">
        <v>0</v>
      </c>
      <c r="I213">
        <v>0</v>
      </c>
      <c r="J213">
        <v>0</v>
      </c>
      <c r="K213">
        <v>1</v>
      </c>
      <c r="L213">
        <v>799</v>
      </c>
      <c r="M213">
        <f t="shared" si="6"/>
        <v>814.89971982965733</v>
      </c>
      <c r="N213">
        <f t="shared" si="7"/>
        <v>252.80109066159847</v>
      </c>
    </row>
    <row r="214" spans="2:14" x14ac:dyDescent="0.3">
      <c r="B214">
        <v>39.145000000000003</v>
      </c>
      <c r="C214">
        <v>4351</v>
      </c>
      <c r="D214">
        <v>323</v>
      </c>
      <c r="E214">
        <v>2</v>
      </c>
      <c r="F214">
        <v>66</v>
      </c>
      <c r="G214">
        <v>13</v>
      </c>
      <c r="H214">
        <v>0</v>
      </c>
      <c r="I214">
        <v>0</v>
      </c>
      <c r="J214">
        <v>1</v>
      </c>
      <c r="K214">
        <v>1</v>
      </c>
      <c r="L214">
        <v>308</v>
      </c>
      <c r="M214">
        <f t="shared" si="6"/>
        <v>426.24543326402824</v>
      </c>
      <c r="N214">
        <f t="shared" si="7"/>
        <v>13981.982487797755</v>
      </c>
    </row>
    <row r="215" spans="2:14" x14ac:dyDescent="0.3">
      <c r="B215">
        <v>39.421999999999997</v>
      </c>
      <c r="C215">
        <v>5245</v>
      </c>
      <c r="D215">
        <v>383</v>
      </c>
      <c r="E215">
        <v>2</v>
      </c>
      <c r="F215">
        <v>44</v>
      </c>
      <c r="G215">
        <v>19</v>
      </c>
      <c r="H215">
        <v>0</v>
      </c>
      <c r="I215">
        <v>0</v>
      </c>
      <c r="J215">
        <v>0</v>
      </c>
      <c r="K215">
        <v>0</v>
      </c>
      <c r="L215">
        <v>637</v>
      </c>
      <c r="M215">
        <f t="shared" si="6"/>
        <v>614.77457563708549</v>
      </c>
      <c r="N215">
        <f t="shared" si="7"/>
        <v>493.96948811163384</v>
      </c>
    </row>
    <row r="216" spans="2:14" x14ac:dyDescent="0.3">
      <c r="B216">
        <v>34.908999999999999</v>
      </c>
      <c r="C216">
        <v>5289</v>
      </c>
      <c r="D216">
        <v>410</v>
      </c>
      <c r="E216">
        <v>2</v>
      </c>
      <c r="F216">
        <v>62</v>
      </c>
      <c r="G216">
        <v>16</v>
      </c>
      <c r="H216">
        <v>1</v>
      </c>
      <c r="I216">
        <v>0</v>
      </c>
      <c r="J216">
        <v>1</v>
      </c>
      <c r="K216">
        <v>1</v>
      </c>
      <c r="L216">
        <v>681</v>
      </c>
      <c r="M216">
        <f t="shared" si="6"/>
        <v>655.47366523251969</v>
      </c>
      <c r="N216">
        <f t="shared" si="7"/>
        <v>651.59376666147386</v>
      </c>
    </row>
    <row r="217" spans="2:14" x14ac:dyDescent="0.3">
      <c r="B217">
        <v>41.024999999999999</v>
      </c>
      <c r="C217">
        <v>4229</v>
      </c>
      <c r="D217">
        <v>337</v>
      </c>
      <c r="E217">
        <v>3</v>
      </c>
      <c r="F217">
        <v>79</v>
      </c>
      <c r="G217">
        <v>19</v>
      </c>
      <c r="H217">
        <v>1</v>
      </c>
      <c r="I217">
        <v>0</v>
      </c>
      <c r="J217">
        <v>1</v>
      </c>
      <c r="K217">
        <v>1</v>
      </c>
      <c r="L217">
        <v>246</v>
      </c>
      <c r="M217">
        <f t="shared" si="6"/>
        <v>255.39874185415135</v>
      </c>
      <c r="N217">
        <f t="shared" si="7"/>
        <v>88.336348440976423</v>
      </c>
    </row>
    <row r="218" spans="2:14" x14ac:dyDescent="0.3">
      <c r="B218">
        <v>15.476000000000001</v>
      </c>
      <c r="C218">
        <v>2762</v>
      </c>
      <c r="D218">
        <v>215</v>
      </c>
      <c r="E218">
        <v>3</v>
      </c>
      <c r="F218">
        <v>60</v>
      </c>
      <c r="G218">
        <v>18</v>
      </c>
      <c r="H218">
        <v>0</v>
      </c>
      <c r="I218">
        <v>0</v>
      </c>
      <c r="J218">
        <v>0</v>
      </c>
      <c r="K218">
        <v>2</v>
      </c>
      <c r="L218">
        <v>52</v>
      </c>
      <c r="M218">
        <f t="shared" si="6"/>
        <v>139.45488856604064</v>
      </c>
      <c r="N218">
        <f t="shared" si="7"/>
        <v>7648.3575340985853</v>
      </c>
    </row>
    <row r="219" spans="2:14" x14ac:dyDescent="0.3">
      <c r="B219">
        <v>12.456</v>
      </c>
      <c r="C219">
        <v>5395</v>
      </c>
      <c r="D219">
        <v>392</v>
      </c>
      <c r="E219">
        <v>3</v>
      </c>
      <c r="F219">
        <v>65</v>
      </c>
      <c r="G219">
        <v>14</v>
      </c>
      <c r="H219">
        <v>0</v>
      </c>
      <c r="I219">
        <v>0</v>
      </c>
      <c r="J219">
        <v>1</v>
      </c>
      <c r="K219">
        <v>1</v>
      </c>
      <c r="L219">
        <v>955</v>
      </c>
      <c r="M219">
        <f t="shared" si="6"/>
        <v>866.40599274136287</v>
      </c>
      <c r="N219">
        <f t="shared" si="7"/>
        <v>7848.8981221434497</v>
      </c>
    </row>
    <row r="220" spans="2:14" x14ac:dyDescent="0.3">
      <c r="B220">
        <v>10.627000000000001</v>
      </c>
      <c r="C220">
        <v>1647</v>
      </c>
      <c r="D220">
        <v>149</v>
      </c>
      <c r="E220">
        <v>2</v>
      </c>
      <c r="F220">
        <v>71</v>
      </c>
      <c r="G220">
        <v>10</v>
      </c>
      <c r="H220">
        <v>1</v>
      </c>
      <c r="I220">
        <v>1</v>
      </c>
      <c r="J220">
        <v>1</v>
      </c>
      <c r="K220">
        <v>2</v>
      </c>
      <c r="L220">
        <v>195</v>
      </c>
      <c r="M220">
        <f t="shared" si="6"/>
        <v>298.0204570219276</v>
      </c>
      <c r="N220">
        <f t="shared" si="7"/>
        <v>10613.214565006831</v>
      </c>
    </row>
    <row r="221" spans="2:14" x14ac:dyDescent="0.3">
      <c r="B221">
        <v>38.954000000000001</v>
      </c>
      <c r="C221">
        <v>5222</v>
      </c>
      <c r="D221">
        <v>370</v>
      </c>
      <c r="E221">
        <v>4</v>
      </c>
      <c r="F221">
        <v>76</v>
      </c>
      <c r="G221">
        <v>13</v>
      </c>
      <c r="H221">
        <v>1</v>
      </c>
      <c r="I221">
        <v>0</v>
      </c>
      <c r="J221">
        <v>0</v>
      </c>
      <c r="K221">
        <v>1</v>
      </c>
      <c r="L221">
        <v>653</v>
      </c>
      <c r="M221">
        <f t="shared" si="6"/>
        <v>618.67975949118602</v>
      </c>
      <c r="N221">
        <f t="shared" si="7"/>
        <v>1177.8789085828362</v>
      </c>
    </row>
    <row r="222" spans="2:14" x14ac:dyDescent="0.3">
      <c r="B222">
        <v>44.847000000000001</v>
      </c>
      <c r="C222">
        <v>5765</v>
      </c>
      <c r="D222">
        <v>437</v>
      </c>
      <c r="E222">
        <v>3</v>
      </c>
      <c r="F222">
        <v>53</v>
      </c>
      <c r="G222">
        <v>13</v>
      </c>
      <c r="H222">
        <v>1</v>
      </c>
      <c r="I222">
        <v>1</v>
      </c>
      <c r="J222">
        <v>0</v>
      </c>
      <c r="K222">
        <v>2</v>
      </c>
      <c r="L222">
        <v>1246</v>
      </c>
      <c r="M222">
        <f t="shared" si="6"/>
        <v>1082.5844146654554</v>
      </c>
      <c r="N222">
        <f t="shared" si="7"/>
        <v>26704.653530231837</v>
      </c>
    </row>
    <row r="223" spans="2:14" x14ac:dyDescent="0.3">
      <c r="B223">
        <v>98.515000000000001</v>
      </c>
      <c r="C223">
        <v>8760</v>
      </c>
      <c r="D223">
        <v>633</v>
      </c>
      <c r="E223">
        <v>5</v>
      </c>
      <c r="F223">
        <v>78</v>
      </c>
      <c r="G223">
        <v>11</v>
      </c>
      <c r="H223">
        <v>1</v>
      </c>
      <c r="I223">
        <v>0</v>
      </c>
      <c r="J223">
        <v>0</v>
      </c>
      <c r="K223">
        <v>0</v>
      </c>
      <c r="L223">
        <v>1230</v>
      </c>
      <c r="M223">
        <f t="shared" si="6"/>
        <v>1099.676490254674</v>
      </c>
      <c r="N223">
        <f t="shared" si="7"/>
        <v>16984.217192340071</v>
      </c>
    </row>
    <row r="224" spans="2:14" x14ac:dyDescent="0.3">
      <c r="B224">
        <v>33.436999999999998</v>
      </c>
      <c r="C224">
        <v>6207</v>
      </c>
      <c r="D224">
        <v>451</v>
      </c>
      <c r="E224">
        <v>4</v>
      </c>
      <c r="F224">
        <v>44</v>
      </c>
      <c r="G224">
        <v>9</v>
      </c>
      <c r="H224">
        <v>0</v>
      </c>
      <c r="I224">
        <v>1</v>
      </c>
      <c r="J224">
        <v>0</v>
      </c>
      <c r="K224">
        <v>1</v>
      </c>
      <c r="L224">
        <v>1549</v>
      </c>
      <c r="M224">
        <f t="shared" si="6"/>
        <v>1361.6220323175389</v>
      </c>
      <c r="N224">
        <f t="shared" si="7"/>
        <v>35110.502772809428</v>
      </c>
    </row>
    <row r="225" spans="2:14" x14ac:dyDescent="0.3">
      <c r="B225">
        <v>27.512</v>
      </c>
      <c r="C225">
        <v>4613</v>
      </c>
      <c r="D225">
        <v>344</v>
      </c>
      <c r="E225">
        <v>5</v>
      </c>
      <c r="F225">
        <v>72</v>
      </c>
      <c r="G225">
        <v>17</v>
      </c>
      <c r="H225">
        <v>0</v>
      </c>
      <c r="I225">
        <v>0</v>
      </c>
      <c r="J225">
        <v>1</v>
      </c>
      <c r="K225">
        <v>2</v>
      </c>
      <c r="L225">
        <v>573</v>
      </c>
      <c r="M225">
        <f t="shared" si="6"/>
        <v>498.77627209524968</v>
      </c>
      <c r="N225">
        <f t="shared" si="7"/>
        <v>5509.1617840784111</v>
      </c>
    </row>
    <row r="226" spans="2:14" x14ac:dyDescent="0.3">
      <c r="B226">
        <v>121.709</v>
      </c>
      <c r="C226">
        <v>7818</v>
      </c>
      <c r="D226">
        <v>584</v>
      </c>
      <c r="E226">
        <v>4</v>
      </c>
      <c r="F226">
        <v>50</v>
      </c>
      <c r="G226">
        <v>6</v>
      </c>
      <c r="H226">
        <v>0</v>
      </c>
      <c r="I226">
        <v>0</v>
      </c>
      <c r="J226">
        <v>1</v>
      </c>
      <c r="K226">
        <v>1</v>
      </c>
      <c r="L226">
        <v>701</v>
      </c>
      <c r="M226">
        <f t="shared" si="6"/>
        <v>850.094610481411</v>
      </c>
      <c r="N226">
        <f t="shared" si="7"/>
        <v>22229.20287460367</v>
      </c>
    </row>
    <row r="227" spans="2:14" x14ac:dyDescent="0.3">
      <c r="B227">
        <v>15.079000000000001</v>
      </c>
      <c r="C227">
        <v>5673</v>
      </c>
      <c r="D227">
        <v>411</v>
      </c>
      <c r="E227">
        <v>4</v>
      </c>
      <c r="F227">
        <v>28</v>
      </c>
      <c r="G227">
        <v>15</v>
      </c>
      <c r="H227">
        <v>1</v>
      </c>
      <c r="I227">
        <v>0</v>
      </c>
      <c r="J227">
        <v>1</v>
      </c>
      <c r="K227">
        <v>2</v>
      </c>
      <c r="L227">
        <v>1075</v>
      </c>
      <c r="M227">
        <f t="shared" si="6"/>
        <v>1001.7260567718521</v>
      </c>
      <c r="N227">
        <f t="shared" si="7"/>
        <v>5369.0707562018433</v>
      </c>
    </row>
    <row r="228" spans="2:14" x14ac:dyDescent="0.3">
      <c r="B228">
        <v>59.878999999999998</v>
      </c>
      <c r="C228">
        <v>6906</v>
      </c>
      <c r="D228">
        <v>527</v>
      </c>
      <c r="E228">
        <v>6</v>
      </c>
      <c r="F228">
        <v>78</v>
      </c>
      <c r="G228">
        <v>15</v>
      </c>
      <c r="H228">
        <v>1</v>
      </c>
      <c r="I228">
        <v>0</v>
      </c>
      <c r="J228">
        <v>0</v>
      </c>
      <c r="K228">
        <v>1</v>
      </c>
      <c r="L228">
        <v>1032</v>
      </c>
      <c r="M228">
        <f t="shared" si="6"/>
        <v>853.73223637346302</v>
      </c>
      <c r="N228">
        <f t="shared" si="7"/>
        <v>31779.395548406861</v>
      </c>
    </row>
    <row r="229" spans="2:14" x14ac:dyDescent="0.3">
      <c r="B229">
        <v>66.989000000000004</v>
      </c>
      <c r="C229">
        <v>5614</v>
      </c>
      <c r="D229">
        <v>430</v>
      </c>
      <c r="E229">
        <v>3</v>
      </c>
      <c r="F229">
        <v>47</v>
      </c>
      <c r="G229">
        <v>14</v>
      </c>
      <c r="H229">
        <v>1</v>
      </c>
      <c r="I229">
        <v>0</v>
      </c>
      <c r="J229">
        <v>1</v>
      </c>
      <c r="K229">
        <v>1</v>
      </c>
      <c r="L229">
        <v>482</v>
      </c>
      <c r="M229">
        <f t="shared" si="6"/>
        <v>577.83531579904718</v>
      </c>
      <c r="N229">
        <f t="shared" si="7"/>
        <v>9184.4077543031017</v>
      </c>
    </row>
    <row r="230" spans="2:14" x14ac:dyDescent="0.3">
      <c r="B230">
        <v>69.165000000000006</v>
      </c>
      <c r="C230">
        <v>4668</v>
      </c>
      <c r="D230">
        <v>341</v>
      </c>
      <c r="E230">
        <v>2</v>
      </c>
      <c r="F230">
        <v>34</v>
      </c>
      <c r="G230">
        <v>11</v>
      </c>
      <c r="H230">
        <v>1</v>
      </c>
      <c r="I230">
        <v>0</v>
      </c>
      <c r="J230">
        <v>0</v>
      </c>
      <c r="K230">
        <v>0</v>
      </c>
      <c r="L230">
        <v>156</v>
      </c>
      <c r="M230">
        <f t="shared" si="6"/>
        <v>407.03548467877687</v>
      </c>
      <c r="N230">
        <f t="shared" si="7"/>
        <v>63018.814567908419</v>
      </c>
    </row>
    <row r="231" spans="2:14" x14ac:dyDescent="0.3">
      <c r="B231">
        <v>69.942999999999998</v>
      </c>
      <c r="C231">
        <v>7555</v>
      </c>
      <c r="D231">
        <v>547</v>
      </c>
      <c r="E231">
        <v>3</v>
      </c>
      <c r="F231">
        <v>76</v>
      </c>
      <c r="G231">
        <v>9</v>
      </c>
      <c r="H231">
        <v>0</v>
      </c>
      <c r="I231">
        <v>0</v>
      </c>
      <c r="J231">
        <v>1</v>
      </c>
      <c r="K231">
        <v>2</v>
      </c>
      <c r="L231">
        <v>1058</v>
      </c>
      <c r="M231">
        <f t="shared" si="6"/>
        <v>1039.0283945755457</v>
      </c>
      <c r="N231">
        <f t="shared" si="7"/>
        <v>359.92181238118422</v>
      </c>
    </row>
    <row r="232" spans="2:14" x14ac:dyDescent="0.3">
      <c r="B232">
        <v>33.213999999999999</v>
      </c>
      <c r="C232">
        <v>5137</v>
      </c>
      <c r="D232">
        <v>387</v>
      </c>
      <c r="E232">
        <v>3</v>
      </c>
      <c r="F232">
        <v>59</v>
      </c>
      <c r="G232">
        <v>9</v>
      </c>
      <c r="H232">
        <v>0</v>
      </c>
      <c r="I232">
        <v>0</v>
      </c>
      <c r="J232">
        <v>0</v>
      </c>
      <c r="K232">
        <v>0</v>
      </c>
      <c r="L232">
        <v>661</v>
      </c>
      <c r="M232">
        <f t="shared" si="6"/>
        <v>746.45304494975335</v>
      </c>
      <c r="N232">
        <f t="shared" si="7"/>
        <v>7302.2228911845659</v>
      </c>
    </row>
    <row r="233" spans="2:14" x14ac:dyDescent="0.3">
      <c r="B233">
        <v>25.123999999999999</v>
      </c>
      <c r="C233">
        <v>4776</v>
      </c>
      <c r="D233">
        <v>378</v>
      </c>
      <c r="E233">
        <v>4</v>
      </c>
      <c r="F233">
        <v>29</v>
      </c>
      <c r="G233">
        <v>12</v>
      </c>
      <c r="H233">
        <v>0</v>
      </c>
      <c r="I233">
        <v>0</v>
      </c>
      <c r="J233">
        <v>1</v>
      </c>
      <c r="K233">
        <v>1</v>
      </c>
      <c r="L233">
        <v>657</v>
      </c>
      <c r="M233">
        <f t="shared" si="6"/>
        <v>749.93499590580507</v>
      </c>
      <c r="N233">
        <f t="shared" si="7"/>
        <v>8636.9134640120046</v>
      </c>
    </row>
    <row r="234" spans="2:14" x14ac:dyDescent="0.3">
      <c r="B234">
        <v>15.741</v>
      </c>
      <c r="C234">
        <v>4788</v>
      </c>
      <c r="D234">
        <v>360</v>
      </c>
      <c r="E234">
        <v>1</v>
      </c>
      <c r="F234">
        <v>39</v>
      </c>
      <c r="G234">
        <v>14</v>
      </c>
      <c r="H234">
        <v>0</v>
      </c>
      <c r="I234">
        <v>0</v>
      </c>
      <c r="J234">
        <v>1</v>
      </c>
      <c r="K234">
        <v>2</v>
      </c>
      <c r="L234">
        <v>689</v>
      </c>
      <c r="M234">
        <f t="shared" si="6"/>
        <v>760.41140930812833</v>
      </c>
      <c r="N234">
        <f t="shared" si="7"/>
        <v>5099.5893793730374</v>
      </c>
    </row>
    <row r="235" spans="2:14" x14ac:dyDescent="0.3">
      <c r="B235">
        <v>11.603</v>
      </c>
      <c r="C235">
        <v>2278</v>
      </c>
      <c r="D235">
        <v>187</v>
      </c>
      <c r="E235">
        <v>3</v>
      </c>
      <c r="F235">
        <v>71</v>
      </c>
      <c r="G235">
        <v>11</v>
      </c>
      <c r="H235">
        <v>0</v>
      </c>
      <c r="I235">
        <v>0</v>
      </c>
      <c r="J235">
        <v>1</v>
      </c>
      <c r="K235">
        <v>1</v>
      </c>
      <c r="L235">
        <v>0</v>
      </c>
      <c r="M235">
        <f t="shared" si="6"/>
        <v>124.88612416535172</v>
      </c>
      <c r="N235">
        <f t="shared" si="7"/>
        <v>15596.544009043646</v>
      </c>
    </row>
    <row r="236" spans="2:14" x14ac:dyDescent="0.3">
      <c r="B236">
        <v>69.656000000000006</v>
      </c>
      <c r="C236">
        <v>8244</v>
      </c>
      <c r="D236">
        <v>579</v>
      </c>
      <c r="E236">
        <v>3</v>
      </c>
      <c r="F236">
        <v>41</v>
      </c>
      <c r="G236">
        <v>14</v>
      </c>
      <c r="H236">
        <v>0</v>
      </c>
      <c r="I236">
        <v>0</v>
      </c>
      <c r="J236">
        <v>1</v>
      </c>
      <c r="K236">
        <v>0</v>
      </c>
      <c r="L236">
        <v>1329</v>
      </c>
      <c r="M236">
        <f t="shared" si="6"/>
        <v>1231.1947623884184</v>
      </c>
      <c r="N236">
        <f t="shared" si="7"/>
        <v>9565.8645042579283</v>
      </c>
    </row>
    <row r="237" spans="2:14" x14ac:dyDescent="0.3">
      <c r="B237">
        <v>10.503</v>
      </c>
      <c r="C237">
        <v>2923</v>
      </c>
      <c r="D237">
        <v>232</v>
      </c>
      <c r="E237">
        <v>3</v>
      </c>
      <c r="F237">
        <v>25</v>
      </c>
      <c r="G237">
        <v>18</v>
      </c>
      <c r="H237">
        <v>1</v>
      </c>
      <c r="I237">
        <v>0</v>
      </c>
      <c r="J237">
        <v>1</v>
      </c>
      <c r="K237">
        <v>0</v>
      </c>
      <c r="L237">
        <v>191</v>
      </c>
      <c r="M237">
        <f t="shared" si="6"/>
        <v>310.62053816114275</v>
      </c>
      <c r="N237">
        <f t="shared" si="7"/>
        <v>14309.073149961408</v>
      </c>
    </row>
    <row r="238" spans="2:14" x14ac:dyDescent="0.3">
      <c r="B238">
        <v>42.529000000000003</v>
      </c>
      <c r="C238">
        <v>4986</v>
      </c>
      <c r="D238">
        <v>369</v>
      </c>
      <c r="E238">
        <v>2</v>
      </c>
      <c r="F238">
        <v>37</v>
      </c>
      <c r="G238">
        <v>11</v>
      </c>
      <c r="H238">
        <v>0</v>
      </c>
      <c r="I238">
        <v>0</v>
      </c>
      <c r="J238">
        <v>1</v>
      </c>
      <c r="K238">
        <v>2</v>
      </c>
      <c r="L238">
        <v>489</v>
      </c>
      <c r="M238">
        <f t="shared" si="6"/>
        <v>669.32168096621945</v>
      </c>
      <c r="N238">
        <f t="shared" si="7"/>
        <v>32515.908626483029</v>
      </c>
    </row>
    <row r="239" spans="2:14" x14ac:dyDescent="0.3">
      <c r="B239">
        <v>60.579000000000001</v>
      </c>
      <c r="C239">
        <v>5149</v>
      </c>
      <c r="D239">
        <v>388</v>
      </c>
      <c r="E239">
        <v>5</v>
      </c>
      <c r="F239">
        <v>38</v>
      </c>
      <c r="G239">
        <v>15</v>
      </c>
      <c r="H239">
        <v>0</v>
      </c>
      <c r="I239">
        <v>0</v>
      </c>
      <c r="J239">
        <v>1</v>
      </c>
      <c r="K239">
        <v>2</v>
      </c>
      <c r="L239">
        <v>443</v>
      </c>
      <c r="M239">
        <f t="shared" si="6"/>
        <v>517.65904219660865</v>
      </c>
      <c r="N239">
        <f t="shared" si="7"/>
        <v>5573.9725817149911</v>
      </c>
    </row>
    <row r="240" spans="2:14" x14ac:dyDescent="0.3">
      <c r="B240">
        <v>26.532</v>
      </c>
      <c r="C240">
        <v>2910</v>
      </c>
      <c r="D240">
        <v>236</v>
      </c>
      <c r="E240">
        <v>6</v>
      </c>
      <c r="F240">
        <v>58</v>
      </c>
      <c r="G240">
        <v>19</v>
      </c>
      <c r="H240">
        <v>1</v>
      </c>
      <c r="I240">
        <v>0</v>
      </c>
      <c r="J240">
        <v>1</v>
      </c>
      <c r="K240">
        <v>1</v>
      </c>
      <c r="L240">
        <v>52</v>
      </c>
      <c r="M240">
        <f t="shared" si="6"/>
        <v>88.82526455782876</v>
      </c>
      <c r="N240">
        <f t="shared" si="7"/>
        <v>1356.1001097540791</v>
      </c>
    </row>
    <row r="241" spans="2:14" x14ac:dyDescent="0.3">
      <c r="B241">
        <v>27.952000000000002</v>
      </c>
      <c r="C241">
        <v>3557</v>
      </c>
      <c r="D241">
        <v>263</v>
      </c>
      <c r="E241">
        <v>1</v>
      </c>
      <c r="F241">
        <v>35</v>
      </c>
      <c r="G241">
        <v>13</v>
      </c>
      <c r="H241">
        <v>1</v>
      </c>
      <c r="I241">
        <v>0</v>
      </c>
      <c r="J241">
        <v>1</v>
      </c>
      <c r="K241">
        <v>2</v>
      </c>
      <c r="L241">
        <v>163</v>
      </c>
      <c r="M241">
        <f t="shared" si="6"/>
        <v>391.44288993306134</v>
      </c>
      <c r="N241">
        <f t="shared" si="7"/>
        <v>52186.153960968775</v>
      </c>
    </row>
    <row r="242" spans="2:14" x14ac:dyDescent="0.3">
      <c r="B242">
        <v>29.704999999999998</v>
      </c>
      <c r="C242">
        <v>3351</v>
      </c>
      <c r="D242">
        <v>262</v>
      </c>
      <c r="E242">
        <v>5</v>
      </c>
      <c r="F242">
        <v>71</v>
      </c>
      <c r="G242">
        <v>14</v>
      </c>
      <c r="H242">
        <v>1</v>
      </c>
      <c r="I242">
        <v>0</v>
      </c>
      <c r="J242">
        <v>1</v>
      </c>
      <c r="K242">
        <v>2</v>
      </c>
      <c r="L242">
        <v>148</v>
      </c>
      <c r="M242">
        <f t="shared" si="6"/>
        <v>216.93779515602398</v>
      </c>
      <c r="N242">
        <f t="shared" si="7"/>
        <v>4752.4196009739235</v>
      </c>
    </row>
    <row r="243" spans="2:14" x14ac:dyDescent="0.3">
      <c r="B243">
        <v>15.602</v>
      </c>
      <c r="C243">
        <v>906</v>
      </c>
      <c r="D243">
        <v>103</v>
      </c>
      <c r="E243">
        <v>2</v>
      </c>
      <c r="F243">
        <v>36</v>
      </c>
      <c r="G243">
        <v>11</v>
      </c>
      <c r="H243">
        <v>0</v>
      </c>
      <c r="I243">
        <v>0</v>
      </c>
      <c r="J243">
        <v>1</v>
      </c>
      <c r="K243">
        <v>0</v>
      </c>
      <c r="L243">
        <v>0</v>
      </c>
      <c r="M243">
        <f t="shared" si="6"/>
        <v>-151.59290645256485</v>
      </c>
      <c r="N243">
        <f t="shared" si="7"/>
        <v>22980.409286736078</v>
      </c>
    </row>
    <row r="244" spans="2:14" x14ac:dyDescent="0.3">
      <c r="B244">
        <v>20.917999999999999</v>
      </c>
      <c r="C244">
        <v>1233</v>
      </c>
      <c r="D244">
        <v>128</v>
      </c>
      <c r="E244">
        <v>3</v>
      </c>
      <c r="F244">
        <v>47</v>
      </c>
      <c r="G244">
        <v>18</v>
      </c>
      <c r="H244">
        <v>1</v>
      </c>
      <c r="I244">
        <v>1</v>
      </c>
      <c r="J244">
        <v>1</v>
      </c>
      <c r="K244">
        <v>2</v>
      </c>
      <c r="L244">
        <v>16</v>
      </c>
      <c r="M244">
        <f t="shared" si="6"/>
        <v>63.167040509923886</v>
      </c>
      <c r="N244">
        <f t="shared" si="7"/>
        <v>2224.729710464801</v>
      </c>
    </row>
    <row r="245" spans="2:14" x14ac:dyDescent="0.3">
      <c r="B245">
        <v>58.164999999999999</v>
      </c>
      <c r="C245">
        <v>6617</v>
      </c>
      <c r="D245">
        <v>460</v>
      </c>
      <c r="E245">
        <v>1</v>
      </c>
      <c r="F245">
        <v>56</v>
      </c>
      <c r="G245">
        <v>12</v>
      </c>
      <c r="H245">
        <v>1</v>
      </c>
      <c r="I245">
        <v>0</v>
      </c>
      <c r="J245">
        <v>1</v>
      </c>
      <c r="K245">
        <v>1</v>
      </c>
      <c r="L245">
        <v>856</v>
      </c>
      <c r="M245">
        <f t="shared" si="6"/>
        <v>896.45948152762924</v>
      </c>
      <c r="N245">
        <f t="shared" si="7"/>
        <v>1636.9696454845714</v>
      </c>
    </row>
    <row r="246" spans="2:14" x14ac:dyDescent="0.3">
      <c r="B246">
        <v>22.561</v>
      </c>
      <c r="C246">
        <v>1787</v>
      </c>
      <c r="D246">
        <v>147</v>
      </c>
      <c r="E246">
        <v>4</v>
      </c>
      <c r="F246">
        <v>66</v>
      </c>
      <c r="G246">
        <v>15</v>
      </c>
      <c r="H246">
        <v>1</v>
      </c>
      <c r="I246">
        <v>0</v>
      </c>
      <c r="J246">
        <v>0</v>
      </c>
      <c r="K246">
        <v>1</v>
      </c>
      <c r="L246">
        <v>0</v>
      </c>
      <c r="M246">
        <f t="shared" si="6"/>
        <v>-124.09718070934728</v>
      </c>
      <c r="N246">
        <f t="shared" si="7"/>
        <v>15400.110260008396</v>
      </c>
    </row>
    <row r="247" spans="2:14" x14ac:dyDescent="0.3">
      <c r="B247">
        <v>34.509</v>
      </c>
      <c r="C247">
        <v>2001</v>
      </c>
      <c r="D247">
        <v>189</v>
      </c>
      <c r="E247">
        <v>5</v>
      </c>
      <c r="F247">
        <v>80</v>
      </c>
      <c r="G247">
        <v>18</v>
      </c>
      <c r="H247">
        <v>1</v>
      </c>
      <c r="I247">
        <v>0</v>
      </c>
      <c r="J247">
        <v>1</v>
      </c>
      <c r="K247">
        <v>0</v>
      </c>
      <c r="L247">
        <v>0</v>
      </c>
      <c r="M247">
        <f t="shared" si="6"/>
        <v>-239.51748098938057</v>
      </c>
      <c r="N247">
        <f t="shared" si="7"/>
        <v>57368.623699498283</v>
      </c>
    </row>
    <row r="248" spans="2:14" x14ac:dyDescent="0.3">
      <c r="B248">
        <v>19.588000000000001</v>
      </c>
      <c r="C248">
        <v>3211</v>
      </c>
      <c r="D248">
        <v>265</v>
      </c>
      <c r="E248">
        <v>4</v>
      </c>
      <c r="F248">
        <v>59</v>
      </c>
      <c r="G248">
        <v>14</v>
      </c>
      <c r="H248">
        <v>1</v>
      </c>
      <c r="I248">
        <v>0</v>
      </c>
      <c r="J248">
        <v>0</v>
      </c>
      <c r="K248">
        <v>2</v>
      </c>
      <c r="L248">
        <v>199</v>
      </c>
      <c r="M248">
        <f t="shared" si="6"/>
        <v>286.79979437491863</v>
      </c>
      <c r="N248">
        <f t="shared" si="7"/>
        <v>7708.8038922779933</v>
      </c>
    </row>
    <row r="249" spans="2:14" x14ac:dyDescent="0.3">
      <c r="B249">
        <v>36.363999999999997</v>
      </c>
      <c r="C249">
        <v>2220</v>
      </c>
      <c r="D249">
        <v>188</v>
      </c>
      <c r="E249">
        <v>3</v>
      </c>
      <c r="F249">
        <v>50</v>
      </c>
      <c r="G249">
        <v>19</v>
      </c>
      <c r="H249">
        <v>0</v>
      </c>
      <c r="I249">
        <v>0</v>
      </c>
      <c r="J249">
        <v>0</v>
      </c>
      <c r="K249">
        <v>1</v>
      </c>
      <c r="L249">
        <v>0</v>
      </c>
      <c r="M249">
        <f t="shared" si="6"/>
        <v>-133.84838702383581</v>
      </c>
      <c r="N249">
        <f t="shared" si="7"/>
        <v>17915.39070888254</v>
      </c>
    </row>
    <row r="250" spans="2:14" x14ac:dyDescent="0.3">
      <c r="B250">
        <v>15.717000000000001</v>
      </c>
      <c r="C250">
        <v>905</v>
      </c>
      <c r="D250">
        <v>93</v>
      </c>
      <c r="E250">
        <v>1</v>
      </c>
      <c r="F250">
        <v>38</v>
      </c>
      <c r="G250">
        <v>16</v>
      </c>
      <c r="H250">
        <v>0</v>
      </c>
      <c r="I250">
        <v>1</v>
      </c>
      <c r="J250">
        <v>1</v>
      </c>
      <c r="K250">
        <v>1</v>
      </c>
      <c r="L250">
        <v>0</v>
      </c>
      <c r="M250">
        <f t="shared" si="6"/>
        <v>73.09345367262587</v>
      </c>
      <c r="N250">
        <f t="shared" si="7"/>
        <v>5342.6529697923042</v>
      </c>
    </row>
    <row r="251" spans="2:14" x14ac:dyDescent="0.3">
      <c r="B251">
        <v>22.574000000000002</v>
      </c>
      <c r="C251">
        <v>1551</v>
      </c>
      <c r="D251">
        <v>134</v>
      </c>
      <c r="E251">
        <v>3</v>
      </c>
      <c r="F251">
        <v>43</v>
      </c>
      <c r="G251">
        <v>13</v>
      </c>
      <c r="H251">
        <v>1</v>
      </c>
      <c r="I251">
        <v>1</v>
      </c>
      <c r="J251">
        <v>1</v>
      </c>
      <c r="K251">
        <v>1</v>
      </c>
      <c r="L251">
        <v>98</v>
      </c>
      <c r="M251">
        <f t="shared" si="6"/>
        <v>218.53082386830613</v>
      </c>
      <c r="N251">
        <f t="shared" si="7"/>
        <v>14527.679502372634</v>
      </c>
    </row>
    <row r="252" spans="2:14" x14ac:dyDescent="0.3">
      <c r="B252">
        <v>10.363</v>
      </c>
      <c r="C252">
        <v>2430</v>
      </c>
      <c r="D252">
        <v>191</v>
      </c>
      <c r="E252">
        <v>2</v>
      </c>
      <c r="F252">
        <v>47</v>
      </c>
      <c r="G252">
        <v>18</v>
      </c>
      <c r="H252">
        <v>1</v>
      </c>
      <c r="I252">
        <v>0</v>
      </c>
      <c r="J252">
        <v>1</v>
      </c>
      <c r="K252">
        <v>2</v>
      </c>
      <c r="L252">
        <v>0</v>
      </c>
      <c r="M252">
        <f t="shared" si="6"/>
        <v>127.86269649843979</v>
      </c>
      <c r="N252">
        <f t="shared" si="7"/>
        <v>16348.869155852126</v>
      </c>
    </row>
    <row r="253" spans="2:14" x14ac:dyDescent="0.3">
      <c r="B253">
        <v>28.474</v>
      </c>
      <c r="C253">
        <v>3202</v>
      </c>
      <c r="D253">
        <v>267</v>
      </c>
      <c r="E253">
        <v>5</v>
      </c>
      <c r="F253">
        <v>66</v>
      </c>
      <c r="G253">
        <v>12</v>
      </c>
      <c r="H253">
        <v>0</v>
      </c>
      <c r="I253">
        <v>0</v>
      </c>
      <c r="J253">
        <v>1</v>
      </c>
      <c r="K253">
        <v>1</v>
      </c>
      <c r="L253">
        <v>132</v>
      </c>
      <c r="M253">
        <f t="shared" si="6"/>
        <v>233.53339109194803</v>
      </c>
      <c r="N253">
        <f t="shared" si="7"/>
        <v>10309.029506630472</v>
      </c>
    </row>
    <row r="254" spans="2:14" x14ac:dyDescent="0.3">
      <c r="B254">
        <v>72.944999999999993</v>
      </c>
      <c r="C254">
        <v>8603</v>
      </c>
      <c r="D254">
        <v>621</v>
      </c>
      <c r="E254">
        <v>3</v>
      </c>
      <c r="F254">
        <v>64</v>
      </c>
      <c r="G254">
        <v>8</v>
      </c>
      <c r="H254">
        <v>1</v>
      </c>
      <c r="I254">
        <v>0</v>
      </c>
      <c r="J254">
        <v>0</v>
      </c>
      <c r="K254">
        <v>1</v>
      </c>
      <c r="L254">
        <v>1355</v>
      </c>
      <c r="M254">
        <f t="shared" si="6"/>
        <v>1326.9784740211833</v>
      </c>
      <c r="N254">
        <f t="shared" si="7"/>
        <v>785.20591818150069</v>
      </c>
    </row>
    <row r="255" spans="2:14" x14ac:dyDescent="0.3">
      <c r="B255">
        <v>85.424999999999997</v>
      </c>
      <c r="C255">
        <v>5182</v>
      </c>
      <c r="D255">
        <v>402</v>
      </c>
      <c r="E255">
        <v>6</v>
      </c>
      <c r="F255">
        <v>60</v>
      </c>
      <c r="G255">
        <v>12</v>
      </c>
      <c r="H255">
        <v>0</v>
      </c>
      <c r="I255">
        <v>0</v>
      </c>
      <c r="J255">
        <v>1</v>
      </c>
      <c r="K255">
        <v>0</v>
      </c>
      <c r="L255">
        <v>218</v>
      </c>
      <c r="M255">
        <f t="shared" si="6"/>
        <v>335.2124316028233</v>
      </c>
      <c r="N255">
        <f t="shared" si="7"/>
        <v>13738.75412224653</v>
      </c>
    </row>
    <row r="256" spans="2:14" x14ac:dyDescent="0.3">
      <c r="B256">
        <v>36.508000000000003</v>
      </c>
      <c r="C256">
        <v>6386</v>
      </c>
      <c r="D256">
        <v>469</v>
      </c>
      <c r="E256">
        <v>4</v>
      </c>
      <c r="F256">
        <v>79</v>
      </c>
      <c r="G256">
        <v>6</v>
      </c>
      <c r="H256">
        <v>1</v>
      </c>
      <c r="I256">
        <v>0</v>
      </c>
      <c r="J256">
        <v>1</v>
      </c>
      <c r="K256">
        <v>1</v>
      </c>
      <c r="L256">
        <v>1048</v>
      </c>
      <c r="M256">
        <f t="shared" si="6"/>
        <v>1026.5116076751235</v>
      </c>
      <c r="N256">
        <f t="shared" si="7"/>
        <v>461.75100470781069</v>
      </c>
    </row>
    <row r="257" spans="2:14" x14ac:dyDescent="0.3">
      <c r="B257">
        <v>58.063000000000002</v>
      </c>
      <c r="C257">
        <v>4221</v>
      </c>
      <c r="D257">
        <v>304</v>
      </c>
      <c r="E257">
        <v>3</v>
      </c>
      <c r="F257">
        <v>50</v>
      </c>
      <c r="G257">
        <v>8</v>
      </c>
      <c r="H257">
        <v>0</v>
      </c>
      <c r="I257">
        <v>0</v>
      </c>
      <c r="J257">
        <v>0</v>
      </c>
      <c r="K257">
        <v>0</v>
      </c>
      <c r="L257">
        <v>118</v>
      </c>
      <c r="M257">
        <f t="shared" si="6"/>
        <v>378.81274085028792</v>
      </c>
      <c r="N257">
        <f t="shared" si="7"/>
        <v>68023.285789839443</v>
      </c>
    </row>
    <row r="258" spans="2:14" x14ac:dyDescent="0.3">
      <c r="B258">
        <v>25.936</v>
      </c>
      <c r="C258">
        <v>1774</v>
      </c>
      <c r="D258">
        <v>135</v>
      </c>
      <c r="E258">
        <v>2</v>
      </c>
      <c r="F258">
        <v>71</v>
      </c>
      <c r="G258">
        <v>14</v>
      </c>
      <c r="H258">
        <v>1</v>
      </c>
      <c r="I258">
        <v>0</v>
      </c>
      <c r="J258">
        <v>0</v>
      </c>
      <c r="K258">
        <v>2</v>
      </c>
      <c r="L258">
        <v>0</v>
      </c>
      <c r="M258">
        <f t="shared" si="6"/>
        <v>-151.24408411083726</v>
      </c>
      <c r="N258">
        <f t="shared" si="7"/>
        <v>22874.772978526016</v>
      </c>
    </row>
    <row r="259" spans="2:14" x14ac:dyDescent="0.3">
      <c r="B259">
        <v>15.629</v>
      </c>
      <c r="C259">
        <v>2493</v>
      </c>
      <c r="D259">
        <v>186</v>
      </c>
      <c r="E259">
        <v>1</v>
      </c>
      <c r="F259">
        <v>60</v>
      </c>
      <c r="G259">
        <v>14</v>
      </c>
      <c r="H259">
        <v>0</v>
      </c>
      <c r="I259">
        <v>0</v>
      </c>
      <c r="J259">
        <v>1</v>
      </c>
      <c r="K259">
        <v>2</v>
      </c>
      <c r="L259">
        <v>0</v>
      </c>
      <c r="M259">
        <f t="shared" ref="M259:M322" si="8">$Q$3+$Q$4*B259+$Q$5*C259+$Q$6*D259+$Q$7*E259+$Q$8*F259+$Q$9*G259+$Q$10*H259+$Q$11*I259+$Q$12*J259+$Q$13*K259</f>
        <v>131.61961012152693</v>
      </c>
      <c r="N259">
        <f t="shared" ref="N259:N322" si="9">(L259-M259)^2</f>
        <v>17323.721768542753</v>
      </c>
    </row>
    <row r="260" spans="2:14" x14ac:dyDescent="0.3">
      <c r="B260">
        <v>41.4</v>
      </c>
      <c r="C260">
        <v>2561</v>
      </c>
      <c r="D260">
        <v>215</v>
      </c>
      <c r="E260">
        <v>2</v>
      </c>
      <c r="F260">
        <v>36</v>
      </c>
      <c r="G260">
        <v>14</v>
      </c>
      <c r="H260">
        <v>0</v>
      </c>
      <c r="I260">
        <v>0</v>
      </c>
      <c r="J260">
        <v>1</v>
      </c>
      <c r="K260">
        <v>1</v>
      </c>
      <c r="L260">
        <v>0</v>
      </c>
      <c r="M260">
        <f t="shared" si="8"/>
        <v>29.371161775532435</v>
      </c>
      <c r="N260">
        <f t="shared" si="9"/>
        <v>862.66514404449765</v>
      </c>
    </row>
    <row r="261" spans="2:14" x14ac:dyDescent="0.3">
      <c r="B261">
        <v>33.656999999999996</v>
      </c>
      <c r="C261">
        <v>6196</v>
      </c>
      <c r="D261">
        <v>450</v>
      </c>
      <c r="E261">
        <v>6</v>
      </c>
      <c r="F261">
        <v>55</v>
      </c>
      <c r="G261">
        <v>9</v>
      </c>
      <c r="H261">
        <v>1</v>
      </c>
      <c r="I261">
        <v>0</v>
      </c>
      <c r="J261">
        <v>0</v>
      </c>
      <c r="K261">
        <v>1</v>
      </c>
      <c r="L261">
        <v>1092</v>
      </c>
      <c r="M261">
        <f t="shared" si="8"/>
        <v>1019.3803365847727</v>
      </c>
      <c r="N261">
        <f t="shared" si="9"/>
        <v>5273.6155145408957</v>
      </c>
    </row>
    <row r="262" spans="2:14" x14ac:dyDescent="0.3">
      <c r="B262">
        <v>67.936999999999998</v>
      </c>
      <c r="C262">
        <v>5184</v>
      </c>
      <c r="D262">
        <v>383</v>
      </c>
      <c r="E262">
        <v>4</v>
      </c>
      <c r="F262">
        <v>63</v>
      </c>
      <c r="G262">
        <v>12</v>
      </c>
      <c r="H262">
        <v>0</v>
      </c>
      <c r="I262">
        <v>0</v>
      </c>
      <c r="J262">
        <v>1</v>
      </c>
      <c r="K262">
        <v>2</v>
      </c>
      <c r="L262">
        <v>345</v>
      </c>
      <c r="M262">
        <f t="shared" si="8"/>
        <v>451.41111496680719</v>
      </c>
      <c r="N262">
        <f t="shared" si="9"/>
        <v>11323.325388479057</v>
      </c>
    </row>
    <row r="263" spans="2:14" x14ac:dyDescent="0.3">
      <c r="B263">
        <v>180.37899999999999</v>
      </c>
      <c r="C263">
        <v>9310</v>
      </c>
      <c r="D263">
        <v>665</v>
      </c>
      <c r="E263">
        <v>3</v>
      </c>
      <c r="F263">
        <v>67</v>
      </c>
      <c r="G263">
        <v>8</v>
      </c>
      <c r="H263">
        <v>1</v>
      </c>
      <c r="I263">
        <v>1</v>
      </c>
      <c r="J263">
        <v>1</v>
      </c>
      <c r="K263">
        <v>2</v>
      </c>
      <c r="L263">
        <v>1050</v>
      </c>
      <c r="M263">
        <f t="shared" si="8"/>
        <v>1031.6803487158741</v>
      </c>
      <c r="N263">
        <f t="shared" si="9"/>
        <v>335.60962317197715</v>
      </c>
    </row>
    <row r="264" spans="2:14" x14ac:dyDescent="0.3">
      <c r="B264">
        <v>10.587999999999999</v>
      </c>
      <c r="C264">
        <v>4049</v>
      </c>
      <c r="D264">
        <v>296</v>
      </c>
      <c r="E264">
        <v>1</v>
      </c>
      <c r="F264">
        <v>66</v>
      </c>
      <c r="G264">
        <v>13</v>
      </c>
      <c r="H264">
        <v>1</v>
      </c>
      <c r="I264">
        <v>0</v>
      </c>
      <c r="J264">
        <v>1</v>
      </c>
      <c r="K264">
        <v>1</v>
      </c>
      <c r="L264">
        <v>465</v>
      </c>
      <c r="M264">
        <f t="shared" si="8"/>
        <v>555.44058401389202</v>
      </c>
      <c r="N264">
        <f t="shared" si="9"/>
        <v>8179.4992367738614</v>
      </c>
    </row>
    <row r="265" spans="2:14" x14ac:dyDescent="0.3">
      <c r="B265">
        <v>29.725000000000001</v>
      </c>
      <c r="C265">
        <v>3536</v>
      </c>
      <c r="D265">
        <v>270</v>
      </c>
      <c r="E265">
        <v>2</v>
      </c>
      <c r="F265">
        <v>52</v>
      </c>
      <c r="G265">
        <v>15</v>
      </c>
      <c r="H265">
        <v>1</v>
      </c>
      <c r="I265">
        <v>0</v>
      </c>
      <c r="J265">
        <v>0</v>
      </c>
      <c r="K265">
        <v>0</v>
      </c>
      <c r="L265">
        <v>133</v>
      </c>
      <c r="M265">
        <f t="shared" si="8"/>
        <v>297.92005718257298</v>
      </c>
      <c r="N265">
        <f t="shared" si="9"/>
        <v>27198.625261103141</v>
      </c>
    </row>
    <row r="266" spans="2:14" x14ac:dyDescent="0.3">
      <c r="B266">
        <v>27.998999999999999</v>
      </c>
      <c r="C266">
        <v>5107</v>
      </c>
      <c r="D266">
        <v>380</v>
      </c>
      <c r="E266">
        <v>1</v>
      </c>
      <c r="F266">
        <v>55</v>
      </c>
      <c r="G266">
        <v>10</v>
      </c>
      <c r="H266">
        <v>0</v>
      </c>
      <c r="I266">
        <v>0</v>
      </c>
      <c r="J266">
        <v>1</v>
      </c>
      <c r="K266">
        <v>1</v>
      </c>
      <c r="L266">
        <v>651</v>
      </c>
      <c r="M266">
        <f t="shared" si="8"/>
        <v>770.44807014099274</v>
      </c>
      <c r="N266">
        <f t="shared" si="9"/>
        <v>14267.841460407522</v>
      </c>
    </row>
    <row r="267" spans="2:14" x14ac:dyDescent="0.3">
      <c r="B267">
        <v>40.884999999999998</v>
      </c>
      <c r="C267">
        <v>5013</v>
      </c>
      <c r="D267">
        <v>379</v>
      </c>
      <c r="E267">
        <v>3</v>
      </c>
      <c r="F267">
        <v>46</v>
      </c>
      <c r="G267">
        <v>13</v>
      </c>
      <c r="H267">
        <v>1</v>
      </c>
      <c r="I267">
        <v>0</v>
      </c>
      <c r="J267">
        <v>1</v>
      </c>
      <c r="K267">
        <v>0</v>
      </c>
      <c r="L267">
        <v>549</v>
      </c>
      <c r="M267">
        <f t="shared" si="8"/>
        <v>633.84414546812729</v>
      </c>
      <c r="N267">
        <f t="shared" si="9"/>
        <v>7198.5290202167453</v>
      </c>
    </row>
    <row r="268" spans="2:14" x14ac:dyDescent="0.3">
      <c r="B268">
        <v>88.83</v>
      </c>
      <c r="C268">
        <v>4952</v>
      </c>
      <c r="D268">
        <v>360</v>
      </c>
      <c r="E268">
        <v>4</v>
      </c>
      <c r="F268">
        <v>86</v>
      </c>
      <c r="G268">
        <v>16</v>
      </c>
      <c r="H268">
        <v>1</v>
      </c>
      <c r="I268">
        <v>0</v>
      </c>
      <c r="J268">
        <v>1</v>
      </c>
      <c r="K268">
        <v>1</v>
      </c>
      <c r="L268">
        <v>15</v>
      </c>
      <c r="M268">
        <f t="shared" si="8"/>
        <v>119.62623521293644</v>
      </c>
      <c r="N268">
        <f t="shared" si="9"/>
        <v>10946.649094832701</v>
      </c>
    </row>
    <row r="269" spans="2:14" x14ac:dyDescent="0.3">
      <c r="B269">
        <v>29.638000000000002</v>
      </c>
      <c r="C269">
        <v>5833</v>
      </c>
      <c r="D269">
        <v>433</v>
      </c>
      <c r="E269">
        <v>3</v>
      </c>
      <c r="F269">
        <v>29</v>
      </c>
      <c r="G269">
        <v>15</v>
      </c>
      <c r="H269">
        <v>1</v>
      </c>
      <c r="I269">
        <v>0</v>
      </c>
      <c r="J269">
        <v>1</v>
      </c>
      <c r="K269">
        <v>2</v>
      </c>
      <c r="L269">
        <v>942</v>
      </c>
      <c r="M269">
        <f t="shared" si="8"/>
        <v>933.85694303429761</v>
      </c>
      <c r="N269">
        <f t="shared" si="9"/>
        <v>66.309376746674133</v>
      </c>
    </row>
    <row r="270" spans="2:14" x14ac:dyDescent="0.3">
      <c r="B270">
        <v>25.988</v>
      </c>
      <c r="C270">
        <v>1349</v>
      </c>
      <c r="D270">
        <v>142</v>
      </c>
      <c r="E270">
        <v>4</v>
      </c>
      <c r="F270">
        <v>82</v>
      </c>
      <c r="G270">
        <v>12</v>
      </c>
      <c r="H270">
        <v>0</v>
      </c>
      <c r="I270">
        <v>0</v>
      </c>
      <c r="J270">
        <v>0</v>
      </c>
      <c r="K270">
        <v>1</v>
      </c>
      <c r="L270">
        <v>0</v>
      </c>
      <c r="M270">
        <f t="shared" si="8"/>
        <v>-254.72691386226001</v>
      </c>
      <c r="N270">
        <f t="shared" si="9"/>
        <v>64885.800645791227</v>
      </c>
    </row>
    <row r="271" spans="2:14" x14ac:dyDescent="0.3">
      <c r="B271">
        <v>39.055</v>
      </c>
      <c r="C271">
        <v>5565</v>
      </c>
      <c r="D271">
        <v>410</v>
      </c>
      <c r="E271">
        <v>4</v>
      </c>
      <c r="F271">
        <v>48</v>
      </c>
      <c r="G271">
        <v>18</v>
      </c>
      <c r="H271">
        <v>1</v>
      </c>
      <c r="I271">
        <v>0</v>
      </c>
      <c r="J271">
        <v>1</v>
      </c>
      <c r="K271">
        <v>1</v>
      </c>
      <c r="L271">
        <v>772</v>
      </c>
      <c r="M271">
        <f t="shared" si="8"/>
        <v>702.50662335557843</v>
      </c>
      <c r="N271">
        <f t="shared" si="9"/>
        <v>4829.3293974434382</v>
      </c>
    </row>
    <row r="272" spans="2:14" x14ac:dyDescent="0.3">
      <c r="B272">
        <v>15.866</v>
      </c>
      <c r="C272">
        <v>3085</v>
      </c>
      <c r="D272">
        <v>217</v>
      </c>
      <c r="E272">
        <v>1</v>
      </c>
      <c r="F272">
        <v>39</v>
      </c>
      <c r="G272">
        <v>13</v>
      </c>
      <c r="H272">
        <v>0</v>
      </c>
      <c r="I272">
        <v>0</v>
      </c>
      <c r="J272">
        <v>0</v>
      </c>
      <c r="K272">
        <v>1</v>
      </c>
      <c r="L272">
        <v>136</v>
      </c>
      <c r="M272">
        <f t="shared" si="8"/>
        <v>350.04173318287036</v>
      </c>
      <c r="N272">
        <f t="shared" si="9"/>
        <v>45813.863543927066</v>
      </c>
    </row>
    <row r="273" spans="2:14" x14ac:dyDescent="0.3">
      <c r="B273">
        <v>44.978000000000002</v>
      </c>
      <c r="C273">
        <v>4866</v>
      </c>
      <c r="D273">
        <v>347</v>
      </c>
      <c r="E273">
        <v>1</v>
      </c>
      <c r="F273">
        <v>30</v>
      </c>
      <c r="G273">
        <v>10</v>
      </c>
      <c r="H273">
        <v>1</v>
      </c>
      <c r="I273">
        <v>0</v>
      </c>
      <c r="J273">
        <v>0</v>
      </c>
      <c r="K273">
        <v>1</v>
      </c>
      <c r="L273">
        <v>436</v>
      </c>
      <c r="M273">
        <f t="shared" si="8"/>
        <v>655.59650324954112</v>
      </c>
      <c r="N273">
        <f t="shared" si="9"/>
        <v>48222.624239425721</v>
      </c>
    </row>
    <row r="274" spans="2:14" x14ac:dyDescent="0.3">
      <c r="B274">
        <v>30.413</v>
      </c>
      <c r="C274">
        <v>3690</v>
      </c>
      <c r="D274">
        <v>299</v>
      </c>
      <c r="E274">
        <v>2</v>
      </c>
      <c r="F274">
        <v>25</v>
      </c>
      <c r="G274">
        <v>15</v>
      </c>
      <c r="H274">
        <v>1</v>
      </c>
      <c r="I274">
        <v>1</v>
      </c>
      <c r="J274">
        <v>0</v>
      </c>
      <c r="K274">
        <v>2</v>
      </c>
      <c r="L274">
        <v>728</v>
      </c>
      <c r="M274">
        <f t="shared" si="8"/>
        <v>713.12119535558816</v>
      </c>
      <c r="N274">
        <f t="shared" si="9"/>
        <v>221.37882764657144</v>
      </c>
    </row>
    <row r="275" spans="2:14" x14ac:dyDescent="0.3">
      <c r="B275">
        <v>16.751000000000001</v>
      </c>
      <c r="C275">
        <v>4706</v>
      </c>
      <c r="D275">
        <v>353</v>
      </c>
      <c r="E275">
        <v>6</v>
      </c>
      <c r="F275">
        <v>48</v>
      </c>
      <c r="G275">
        <v>14</v>
      </c>
      <c r="H275">
        <v>0</v>
      </c>
      <c r="I275">
        <v>1</v>
      </c>
      <c r="J275">
        <v>0</v>
      </c>
      <c r="K275">
        <v>2</v>
      </c>
      <c r="L275">
        <v>1255</v>
      </c>
      <c r="M275">
        <f t="shared" si="8"/>
        <v>1020.1114780519317</v>
      </c>
      <c r="N275">
        <f t="shared" si="9"/>
        <v>55172.617742948154</v>
      </c>
    </row>
    <row r="276" spans="2:14" x14ac:dyDescent="0.3">
      <c r="B276">
        <v>30.55</v>
      </c>
      <c r="C276">
        <v>5869</v>
      </c>
      <c r="D276">
        <v>439</v>
      </c>
      <c r="E276">
        <v>5</v>
      </c>
      <c r="F276">
        <v>81</v>
      </c>
      <c r="G276">
        <v>9</v>
      </c>
      <c r="H276">
        <v>1</v>
      </c>
      <c r="I276">
        <v>0</v>
      </c>
      <c r="J276">
        <v>0</v>
      </c>
      <c r="K276">
        <v>0</v>
      </c>
      <c r="L276">
        <v>967</v>
      </c>
      <c r="M276">
        <f t="shared" si="8"/>
        <v>889.66796138585028</v>
      </c>
      <c r="N276">
        <f t="shared" si="9"/>
        <v>5980.2441962203438</v>
      </c>
    </row>
    <row r="277" spans="2:14" x14ac:dyDescent="0.3">
      <c r="B277">
        <v>163.32900000000001</v>
      </c>
      <c r="C277">
        <v>8732</v>
      </c>
      <c r="D277">
        <v>636</v>
      </c>
      <c r="E277">
        <v>3</v>
      </c>
      <c r="F277">
        <v>50</v>
      </c>
      <c r="G277">
        <v>14</v>
      </c>
      <c r="H277">
        <v>0</v>
      </c>
      <c r="I277">
        <v>0</v>
      </c>
      <c r="J277">
        <v>1</v>
      </c>
      <c r="K277">
        <v>1</v>
      </c>
      <c r="L277">
        <v>529</v>
      </c>
      <c r="M277">
        <f t="shared" si="8"/>
        <v>655.15115623782765</v>
      </c>
      <c r="N277">
        <f t="shared" si="9"/>
        <v>15914.114220140802</v>
      </c>
    </row>
    <row r="278" spans="2:14" x14ac:dyDescent="0.3">
      <c r="B278">
        <v>23.106000000000002</v>
      </c>
      <c r="C278">
        <v>3476</v>
      </c>
      <c r="D278">
        <v>257</v>
      </c>
      <c r="E278">
        <v>2</v>
      </c>
      <c r="F278">
        <v>50</v>
      </c>
      <c r="G278">
        <v>15</v>
      </c>
      <c r="H278">
        <v>1</v>
      </c>
      <c r="I278">
        <v>0</v>
      </c>
      <c r="J278">
        <v>0</v>
      </c>
      <c r="K278">
        <v>1</v>
      </c>
      <c r="L278">
        <v>209</v>
      </c>
      <c r="M278">
        <f t="shared" si="8"/>
        <v>335.54103695377023</v>
      </c>
      <c r="N278">
        <f t="shared" si="9"/>
        <v>16012.634033335444</v>
      </c>
    </row>
    <row r="279" spans="2:14" x14ac:dyDescent="0.3">
      <c r="B279">
        <v>41.531999999999996</v>
      </c>
      <c r="C279">
        <v>5000</v>
      </c>
      <c r="D279">
        <v>353</v>
      </c>
      <c r="E279">
        <v>2</v>
      </c>
      <c r="F279">
        <v>50</v>
      </c>
      <c r="G279">
        <v>12</v>
      </c>
      <c r="H279">
        <v>0</v>
      </c>
      <c r="I279">
        <v>0</v>
      </c>
      <c r="J279">
        <v>1</v>
      </c>
      <c r="K279">
        <v>1</v>
      </c>
      <c r="L279">
        <v>531</v>
      </c>
      <c r="M279">
        <f t="shared" si="8"/>
        <v>629.54326505728307</v>
      </c>
      <c r="N279">
        <f t="shared" si="9"/>
        <v>9710.7750881499451</v>
      </c>
    </row>
    <row r="280" spans="2:14" x14ac:dyDescent="0.3">
      <c r="B280">
        <v>128.04</v>
      </c>
      <c r="C280">
        <v>6982</v>
      </c>
      <c r="D280">
        <v>518</v>
      </c>
      <c r="E280">
        <v>2</v>
      </c>
      <c r="F280">
        <v>78</v>
      </c>
      <c r="G280">
        <v>11</v>
      </c>
      <c r="H280">
        <v>1</v>
      </c>
      <c r="I280">
        <v>0</v>
      </c>
      <c r="J280">
        <v>1</v>
      </c>
      <c r="K280">
        <v>1</v>
      </c>
      <c r="L280">
        <v>250</v>
      </c>
      <c r="M280">
        <f t="shared" si="8"/>
        <v>441.96837461860264</v>
      </c>
      <c r="N280">
        <f t="shared" si="9"/>
        <v>36851.856853708159</v>
      </c>
    </row>
    <row r="281" spans="2:14" x14ac:dyDescent="0.3">
      <c r="B281">
        <v>54.319000000000003</v>
      </c>
      <c r="C281">
        <v>3063</v>
      </c>
      <c r="D281">
        <v>248</v>
      </c>
      <c r="E281">
        <v>3</v>
      </c>
      <c r="F281">
        <v>59</v>
      </c>
      <c r="G281">
        <v>8</v>
      </c>
      <c r="H281">
        <v>1</v>
      </c>
      <c r="I281">
        <v>1</v>
      </c>
      <c r="J281">
        <v>0</v>
      </c>
      <c r="K281">
        <v>1</v>
      </c>
      <c r="L281">
        <v>269</v>
      </c>
      <c r="M281">
        <f t="shared" si="8"/>
        <v>401.34552450726591</v>
      </c>
      <c r="N281">
        <f t="shared" si="9"/>
        <v>17515.337857103321</v>
      </c>
    </row>
    <row r="282" spans="2:14" x14ac:dyDescent="0.3">
      <c r="B282">
        <v>53.401000000000003</v>
      </c>
      <c r="C282">
        <v>5319</v>
      </c>
      <c r="D282">
        <v>377</v>
      </c>
      <c r="E282">
        <v>3</v>
      </c>
      <c r="F282">
        <v>35</v>
      </c>
      <c r="G282">
        <v>12</v>
      </c>
      <c r="H282">
        <v>1</v>
      </c>
      <c r="I282">
        <v>0</v>
      </c>
      <c r="J282">
        <v>0</v>
      </c>
      <c r="K282">
        <v>0</v>
      </c>
      <c r="L282">
        <v>541</v>
      </c>
      <c r="M282">
        <f t="shared" si="8"/>
        <v>665.13121742147177</v>
      </c>
      <c r="N282">
        <f t="shared" si="9"/>
        <v>15408.559138536697</v>
      </c>
    </row>
    <row r="283" spans="2:14" x14ac:dyDescent="0.3">
      <c r="B283">
        <v>36.142000000000003</v>
      </c>
      <c r="C283">
        <v>1852</v>
      </c>
      <c r="D283">
        <v>183</v>
      </c>
      <c r="E283">
        <v>3</v>
      </c>
      <c r="F283">
        <v>33</v>
      </c>
      <c r="G283">
        <v>13</v>
      </c>
      <c r="H283">
        <v>1</v>
      </c>
      <c r="I283">
        <v>0</v>
      </c>
      <c r="J283">
        <v>0</v>
      </c>
      <c r="K283">
        <v>0</v>
      </c>
      <c r="L283">
        <v>0</v>
      </c>
      <c r="M283">
        <f t="shared" si="8"/>
        <v>-85.329181943236449</v>
      </c>
      <c r="N283">
        <f t="shared" si="9"/>
        <v>7281.0692911019496</v>
      </c>
    </row>
    <row r="284" spans="2:14" x14ac:dyDescent="0.3">
      <c r="B284">
        <v>63.533999999999999</v>
      </c>
      <c r="C284">
        <v>8100</v>
      </c>
      <c r="D284">
        <v>581</v>
      </c>
      <c r="E284">
        <v>2</v>
      </c>
      <c r="F284">
        <v>50</v>
      </c>
      <c r="G284">
        <v>17</v>
      </c>
      <c r="H284">
        <v>1</v>
      </c>
      <c r="I284">
        <v>0</v>
      </c>
      <c r="J284">
        <v>1</v>
      </c>
      <c r="K284">
        <v>1</v>
      </c>
      <c r="L284">
        <v>1298</v>
      </c>
      <c r="M284">
        <f t="shared" si="8"/>
        <v>1167.8853774346696</v>
      </c>
      <c r="N284">
        <f t="shared" si="9"/>
        <v>16929.815005318378</v>
      </c>
    </row>
    <row r="285" spans="2:14" x14ac:dyDescent="0.3">
      <c r="B285">
        <v>49.927</v>
      </c>
      <c r="C285">
        <v>6396</v>
      </c>
      <c r="D285">
        <v>485</v>
      </c>
      <c r="E285">
        <v>3</v>
      </c>
      <c r="F285">
        <v>75</v>
      </c>
      <c r="G285">
        <v>17</v>
      </c>
      <c r="H285">
        <v>1</v>
      </c>
      <c r="I285">
        <v>0</v>
      </c>
      <c r="J285">
        <v>1</v>
      </c>
      <c r="K285">
        <v>1</v>
      </c>
      <c r="L285">
        <v>890</v>
      </c>
      <c r="M285">
        <f t="shared" si="8"/>
        <v>773.67006668814736</v>
      </c>
      <c r="N285">
        <f t="shared" si="9"/>
        <v>13532.653384340083</v>
      </c>
    </row>
    <row r="286" spans="2:14" x14ac:dyDescent="0.3">
      <c r="B286">
        <v>14.711</v>
      </c>
      <c r="C286">
        <v>2047</v>
      </c>
      <c r="D286">
        <v>167</v>
      </c>
      <c r="E286">
        <v>2</v>
      </c>
      <c r="F286">
        <v>67</v>
      </c>
      <c r="G286">
        <v>6</v>
      </c>
      <c r="H286">
        <v>0</v>
      </c>
      <c r="I286">
        <v>0</v>
      </c>
      <c r="J286">
        <v>1</v>
      </c>
      <c r="K286">
        <v>1</v>
      </c>
      <c r="L286">
        <v>0</v>
      </c>
      <c r="M286">
        <f t="shared" si="8"/>
        <v>132.11200844885579</v>
      </c>
      <c r="N286">
        <f t="shared" si="9"/>
        <v>17453.582776390544</v>
      </c>
    </row>
    <row r="287" spans="2:14" x14ac:dyDescent="0.3">
      <c r="B287">
        <v>18.966999999999999</v>
      </c>
      <c r="C287">
        <v>1626</v>
      </c>
      <c r="D287">
        <v>156</v>
      </c>
      <c r="E287">
        <v>2</v>
      </c>
      <c r="F287">
        <v>41</v>
      </c>
      <c r="G287">
        <v>11</v>
      </c>
      <c r="H287">
        <v>1</v>
      </c>
      <c r="I287">
        <v>0</v>
      </c>
      <c r="J287">
        <v>1</v>
      </c>
      <c r="K287">
        <v>2</v>
      </c>
      <c r="L287">
        <v>0</v>
      </c>
      <c r="M287">
        <f t="shared" si="8"/>
        <v>-10.390588010399311</v>
      </c>
      <c r="N287">
        <f t="shared" si="9"/>
        <v>107.96431920185391</v>
      </c>
    </row>
    <row r="288" spans="2:14" x14ac:dyDescent="0.3">
      <c r="B288">
        <v>18.036000000000001</v>
      </c>
      <c r="C288">
        <v>1552</v>
      </c>
      <c r="D288">
        <v>142</v>
      </c>
      <c r="E288">
        <v>2</v>
      </c>
      <c r="F288">
        <v>48</v>
      </c>
      <c r="G288">
        <v>15</v>
      </c>
      <c r="H288">
        <v>1</v>
      </c>
      <c r="I288">
        <v>0</v>
      </c>
      <c r="J288">
        <v>0</v>
      </c>
      <c r="K288">
        <v>1</v>
      </c>
      <c r="L288">
        <v>0</v>
      </c>
      <c r="M288">
        <f t="shared" si="8"/>
        <v>-102.45678072618163</v>
      </c>
      <c r="N288">
        <f t="shared" si="9"/>
        <v>10497.391916772864</v>
      </c>
    </row>
    <row r="289" spans="2:14" x14ac:dyDescent="0.3">
      <c r="B289">
        <v>60.448999999999998</v>
      </c>
      <c r="C289">
        <v>3098</v>
      </c>
      <c r="D289">
        <v>272</v>
      </c>
      <c r="E289">
        <v>4</v>
      </c>
      <c r="F289">
        <v>69</v>
      </c>
      <c r="G289">
        <v>8</v>
      </c>
      <c r="H289">
        <v>0</v>
      </c>
      <c r="I289">
        <v>0</v>
      </c>
      <c r="J289">
        <v>1</v>
      </c>
      <c r="K289">
        <v>1</v>
      </c>
      <c r="L289">
        <v>0</v>
      </c>
      <c r="M289">
        <f t="shared" si="8"/>
        <v>30.76839839194519</v>
      </c>
      <c r="N289">
        <f t="shared" si="9"/>
        <v>946.69433960545541</v>
      </c>
    </row>
    <row r="290" spans="2:14" x14ac:dyDescent="0.3">
      <c r="B290">
        <v>16.710999999999999</v>
      </c>
      <c r="C290">
        <v>5274</v>
      </c>
      <c r="D290">
        <v>387</v>
      </c>
      <c r="E290">
        <v>3</v>
      </c>
      <c r="F290">
        <v>42</v>
      </c>
      <c r="G290">
        <v>16</v>
      </c>
      <c r="H290">
        <v>1</v>
      </c>
      <c r="I290">
        <v>0</v>
      </c>
      <c r="J290">
        <v>1</v>
      </c>
      <c r="K290">
        <v>2</v>
      </c>
      <c r="L290">
        <v>863</v>
      </c>
      <c r="M290">
        <f t="shared" si="8"/>
        <v>836.66617351056129</v>
      </c>
      <c r="N290">
        <f t="shared" si="9"/>
        <v>693.47041757586373</v>
      </c>
    </row>
    <row r="291" spans="2:14" x14ac:dyDescent="0.3">
      <c r="B291">
        <v>10.852</v>
      </c>
      <c r="C291">
        <v>3907</v>
      </c>
      <c r="D291">
        <v>296</v>
      </c>
      <c r="E291">
        <v>2</v>
      </c>
      <c r="F291">
        <v>30</v>
      </c>
      <c r="G291">
        <v>9</v>
      </c>
      <c r="H291">
        <v>0</v>
      </c>
      <c r="I291">
        <v>0</v>
      </c>
      <c r="J291">
        <v>0</v>
      </c>
      <c r="K291">
        <v>1</v>
      </c>
      <c r="L291">
        <v>485</v>
      </c>
      <c r="M291">
        <f t="shared" si="8"/>
        <v>677.87422084912896</v>
      </c>
      <c r="N291">
        <f t="shared" si="9"/>
        <v>37200.46506815857</v>
      </c>
    </row>
    <row r="292" spans="2:14" x14ac:dyDescent="0.3">
      <c r="B292">
        <v>26.37</v>
      </c>
      <c r="C292">
        <v>3235</v>
      </c>
      <c r="D292">
        <v>268</v>
      </c>
      <c r="E292">
        <v>5</v>
      </c>
      <c r="F292">
        <v>78</v>
      </c>
      <c r="G292">
        <v>11</v>
      </c>
      <c r="H292">
        <v>0</v>
      </c>
      <c r="I292">
        <v>0</v>
      </c>
      <c r="J292">
        <v>1</v>
      </c>
      <c r="K292">
        <v>2</v>
      </c>
      <c r="L292">
        <v>159</v>
      </c>
      <c r="M292">
        <f t="shared" si="8"/>
        <v>239.4920120899065</v>
      </c>
      <c r="N292">
        <f t="shared" si="9"/>
        <v>6478.9640102816538</v>
      </c>
    </row>
    <row r="293" spans="2:14" x14ac:dyDescent="0.3">
      <c r="B293">
        <v>24.088000000000001</v>
      </c>
      <c r="C293">
        <v>3665</v>
      </c>
      <c r="D293">
        <v>287</v>
      </c>
      <c r="E293">
        <v>4</v>
      </c>
      <c r="F293">
        <v>56</v>
      </c>
      <c r="G293">
        <v>13</v>
      </c>
      <c r="H293">
        <v>1</v>
      </c>
      <c r="I293">
        <v>0</v>
      </c>
      <c r="J293">
        <v>1</v>
      </c>
      <c r="K293">
        <v>1</v>
      </c>
      <c r="L293">
        <v>309</v>
      </c>
      <c r="M293">
        <f t="shared" si="8"/>
        <v>391.44535383374136</v>
      </c>
      <c r="N293">
        <f t="shared" si="9"/>
        <v>6797.2363687708121</v>
      </c>
    </row>
    <row r="294" spans="2:14" x14ac:dyDescent="0.3">
      <c r="B294">
        <v>51.531999999999996</v>
      </c>
      <c r="C294">
        <v>5096</v>
      </c>
      <c r="D294">
        <v>380</v>
      </c>
      <c r="E294">
        <v>2</v>
      </c>
      <c r="F294">
        <v>31</v>
      </c>
      <c r="G294">
        <v>15</v>
      </c>
      <c r="H294">
        <v>0</v>
      </c>
      <c r="I294">
        <v>0</v>
      </c>
      <c r="J294">
        <v>1</v>
      </c>
      <c r="K294">
        <v>1</v>
      </c>
      <c r="L294">
        <v>481</v>
      </c>
      <c r="M294">
        <f t="shared" si="8"/>
        <v>587.05729352639776</v>
      </c>
      <c r="N294">
        <f t="shared" si="9"/>
        <v>11248.149510144491</v>
      </c>
    </row>
    <row r="295" spans="2:14" x14ac:dyDescent="0.3">
      <c r="B295">
        <v>140.672</v>
      </c>
      <c r="C295">
        <v>11200</v>
      </c>
      <c r="D295">
        <v>817</v>
      </c>
      <c r="E295">
        <v>7</v>
      </c>
      <c r="F295">
        <v>46</v>
      </c>
      <c r="G295">
        <v>9</v>
      </c>
      <c r="H295">
        <v>0</v>
      </c>
      <c r="I295">
        <v>0</v>
      </c>
      <c r="J295">
        <v>1</v>
      </c>
      <c r="K295">
        <v>0</v>
      </c>
      <c r="L295">
        <v>1677</v>
      </c>
      <c r="M295">
        <f t="shared" si="8"/>
        <v>1524.163488552005</v>
      </c>
      <c r="N295">
        <f t="shared" si="9"/>
        <v>23358.999231593109</v>
      </c>
    </row>
    <row r="296" spans="2:14" x14ac:dyDescent="0.3">
      <c r="B296">
        <v>42.914999999999999</v>
      </c>
      <c r="C296">
        <v>2532</v>
      </c>
      <c r="D296">
        <v>205</v>
      </c>
      <c r="E296">
        <v>4</v>
      </c>
      <c r="F296">
        <v>42</v>
      </c>
      <c r="G296">
        <v>13</v>
      </c>
      <c r="H296">
        <v>0</v>
      </c>
      <c r="I296">
        <v>0</v>
      </c>
      <c r="J296">
        <v>1</v>
      </c>
      <c r="K296">
        <v>2</v>
      </c>
      <c r="L296">
        <v>0</v>
      </c>
      <c r="M296">
        <f t="shared" si="8"/>
        <v>11.087521975228785</v>
      </c>
      <c r="N296">
        <f t="shared" si="9"/>
        <v>122.93314355118123</v>
      </c>
    </row>
    <row r="297" spans="2:14" x14ac:dyDescent="0.3">
      <c r="B297">
        <v>27.271999999999998</v>
      </c>
      <c r="C297">
        <v>1389</v>
      </c>
      <c r="D297">
        <v>149</v>
      </c>
      <c r="E297">
        <v>5</v>
      </c>
      <c r="F297">
        <v>67</v>
      </c>
      <c r="G297">
        <v>10</v>
      </c>
      <c r="H297">
        <v>1</v>
      </c>
      <c r="I297">
        <v>0</v>
      </c>
      <c r="J297">
        <v>1</v>
      </c>
      <c r="K297">
        <v>1</v>
      </c>
      <c r="L297">
        <v>0</v>
      </c>
      <c r="M297">
        <f t="shared" si="8"/>
        <v>-182.15842982658862</v>
      </c>
      <c r="N297">
        <f t="shared" si="9"/>
        <v>33181.693556888211</v>
      </c>
    </row>
    <row r="298" spans="2:14" x14ac:dyDescent="0.3">
      <c r="B298">
        <v>65.896000000000001</v>
      </c>
      <c r="C298">
        <v>5140</v>
      </c>
      <c r="D298">
        <v>370</v>
      </c>
      <c r="E298">
        <v>1</v>
      </c>
      <c r="F298">
        <v>49</v>
      </c>
      <c r="G298">
        <v>17</v>
      </c>
      <c r="H298">
        <v>1</v>
      </c>
      <c r="I298">
        <v>0</v>
      </c>
      <c r="J298">
        <v>1</v>
      </c>
      <c r="K298">
        <v>1</v>
      </c>
      <c r="L298">
        <v>293</v>
      </c>
      <c r="M298">
        <f t="shared" si="8"/>
        <v>414.47222232079184</v>
      </c>
      <c r="N298">
        <f t="shared" si="9"/>
        <v>14755.500795551879</v>
      </c>
    </row>
    <row r="299" spans="2:14" x14ac:dyDescent="0.3">
      <c r="B299">
        <v>55.054000000000002</v>
      </c>
      <c r="C299">
        <v>4381</v>
      </c>
      <c r="D299">
        <v>321</v>
      </c>
      <c r="E299">
        <v>3</v>
      </c>
      <c r="F299">
        <v>74</v>
      </c>
      <c r="G299">
        <v>17</v>
      </c>
      <c r="H299">
        <v>0</v>
      </c>
      <c r="I299">
        <v>0</v>
      </c>
      <c r="J299">
        <v>1</v>
      </c>
      <c r="K299">
        <v>2</v>
      </c>
      <c r="L299">
        <v>188</v>
      </c>
      <c r="M299">
        <f t="shared" si="8"/>
        <v>236.33658729814914</v>
      </c>
      <c r="N299">
        <f t="shared" si="9"/>
        <v>2336.4256716315926</v>
      </c>
    </row>
    <row r="300" spans="2:14" x14ac:dyDescent="0.3">
      <c r="B300">
        <v>20.791</v>
      </c>
      <c r="C300">
        <v>2672</v>
      </c>
      <c r="D300">
        <v>204</v>
      </c>
      <c r="E300">
        <v>1</v>
      </c>
      <c r="F300">
        <v>70</v>
      </c>
      <c r="G300">
        <v>18</v>
      </c>
      <c r="H300">
        <v>1</v>
      </c>
      <c r="I300">
        <v>0</v>
      </c>
      <c r="J300">
        <v>0</v>
      </c>
      <c r="K300">
        <v>0</v>
      </c>
      <c r="L300">
        <v>0</v>
      </c>
      <c r="M300">
        <f t="shared" si="8"/>
        <v>51.084014226716988</v>
      </c>
      <c r="N300">
        <f t="shared" si="9"/>
        <v>2609.5765095154238</v>
      </c>
    </row>
    <row r="301" spans="2:14" x14ac:dyDescent="0.3">
      <c r="B301">
        <v>24.919</v>
      </c>
      <c r="C301">
        <v>5051</v>
      </c>
      <c r="D301">
        <v>372</v>
      </c>
      <c r="E301">
        <v>3</v>
      </c>
      <c r="F301">
        <v>76</v>
      </c>
      <c r="G301">
        <v>11</v>
      </c>
      <c r="H301">
        <v>1</v>
      </c>
      <c r="I301">
        <v>0</v>
      </c>
      <c r="J301">
        <v>1</v>
      </c>
      <c r="K301">
        <v>0</v>
      </c>
      <c r="L301">
        <v>711</v>
      </c>
      <c r="M301">
        <f t="shared" si="8"/>
        <v>707.60804655631921</v>
      </c>
      <c r="N301">
        <f t="shared" si="9"/>
        <v>11.505348164097976</v>
      </c>
    </row>
    <row r="302" spans="2:14" x14ac:dyDescent="0.3">
      <c r="B302">
        <v>21.786000000000001</v>
      </c>
      <c r="C302">
        <v>4632</v>
      </c>
      <c r="D302">
        <v>355</v>
      </c>
      <c r="E302">
        <v>1</v>
      </c>
      <c r="F302">
        <v>50</v>
      </c>
      <c r="G302">
        <v>17</v>
      </c>
      <c r="H302">
        <v>0</v>
      </c>
      <c r="I302">
        <v>0</v>
      </c>
      <c r="J302">
        <v>1</v>
      </c>
      <c r="K302">
        <v>1</v>
      </c>
      <c r="L302">
        <v>580</v>
      </c>
      <c r="M302">
        <f t="shared" si="8"/>
        <v>602.46145884302553</v>
      </c>
      <c r="N302">
        <f t="shared" si="9"/>
        <v>504.51713335692955</v>
      </c>
    </row>
    <row r="303" spans="2:14" x14ac:dyDescent="0.3">
      <c r="B303">
        <v>31.335000000000001</v>
      </c>
      <c r="C303">
        <v>3526</v>
      </c>
      <c r="D303">
        <v>289</v>
      </c>
      <c r="E303">
        <v>3</v>
      </c>
      <c r="F303">
        <v>38</v>
      </c>
      <c r="G303">
        <v>7</v>
      </c>
      <c r="H303">
        <v>1</v>
      </c>
      <c r="I303">
        <v>0</v>
      </c>
      <c r="J303">
        <v>0</v>
      </c>
      <c r="K303">
        <v>1</v>
      </c>
      <c r="L303">
        <v>172</v>
      </c>
      <c r="M303">
        <f t="shared" si="8"/>
        <v>445.31108573052882</v>
      </c>
      <c r="N303">
        <f t="shared" si="9"/>
        <v>74698.949583200476</v>
      </c>
    </row>
    <row r="304" spans="2:14" x14ac:dyDescent="0.3">
      <c r="B304">
        <v>59.854999999999997</v>
      </c>
      <c r="C304">
        <v>4964</v>
      </c>
      <c r="D304">
        <v>365</v>
      </c>
      <c r="E304">
        <v>1</v>
      </c>
      <c r="F304">
        <v>46</v>
      </c>
      <c r="G304">
        <v>13</v>
      </c>
      <c r="H304">
        <v>1</v>
      </c>
      <c r="I304">
        <v>0</v>
      </c>
      <c r="J304">
        <v>1</v>
      </c>
      <c r="K304">
        <v>1</v>
      </c>
      <c r="L304">
        <v>295</v>
      </c>
      <c r="M304">
        <f t="shared" si="8"/>
        <v>483.74939603373628</v>
      </c>
      <c r="N304">
        <f t="shared" si="9"/>
        <v>35626.334503100217</v>
      </c>
    </row>
    <row r="305" spans="2:14" x14ac:dyDescent="0.3">
      <c r="B305">
        <v>44.061</v>
      </c>
      <c r="C305">
        <v>4970</v>
      </c>
      <c r="D305">
        <v>352</v>
      </c>
      <c r="E305">
        <v>1</v>
      </c>
      <c r="F305">
        <v>79</v>
      </c>
      <c r="G305">
        <v>11</v>
      </c>
      <c r="H305">
        <v>0</v>
      </c>
      <c r="I305">
        <v>0</v>
      </c>
      <c r="J305">
        <v>1</v>
      </c>
      <c r="K305">
        <v>0</v>
      </c>
      <c r="L305">
        <v>414</v>
      </c>
      <c r="M305">
        <f t="shared" si="8"/>
        <v>540.58199782423412</v>
      </c>
      <c r="N305">
        <f t="shared" si="9"/>
        <v>16023.002173174413</v>
      </c>
    </row>
    <row r="306" spans="2:14" x14ac:dyDescent="0.3">
      <c r="B306">
        <v>82.706000000000003</v>
      </c>
      <c r="C306">
        <v>7506</v>
      </c>
      <c r="D306">
        <v>536</v>
      </c>
      <c r="E306">
        <v>2</v>
      </c>
      <c r="F306">
        <v>64</v>
      </c>
      <c r="G306">
        <v>13</v>
      </c>
      <c r="H306">
        <v>1</v>
      </c>
      <c r="I306">
        <v>0</v>
      </c>
      <c r="J306">
        <v>1</v>
      </c>
      <c r="K306">
        <v>2</v>
      </c>
      <c r="L306">
        <v>905</v>
      </c>
      <c r="M306">
        <f t="shared" si="8"/>
        <v>905.19602938719856</v>
      </c>
      <c r="N306">
        <f t="shared" si="9"/>
        <v>3.8427520645444573E-2</v>
      </c>
    </row>
    <row r="307" spans="2:14" x14ac:dyDescent="0.3">
      <c r="B307">
        <v>24.46</v>
      </c>
      <c r="C307">
        <v>1924</v>
      </c>
      <c r="D307">
        <v>165</v>
      </c>
      <c r="E307">
        <v>2</v>
      </c>
      <c r="F307">
        <v>50</v>
      </c>
      <c r="G307">
        <v>14</v>
      </c>
      <c r="H307">
        <v>1</v>
      </c>
      <c r="I307">
        <v>0</v>
      </c>
      <c r="J307">
        <v>1</v>
      </c>
      <c r="K307">
        <v>2</v>
      </c>
      <c r="L307">
        <v>0</v>
      </c>
      <c r="M307">
        <f t="shared" si="8"/>
        <v>-46.178204257794413</v>
      </c>
      <c r="N307">
        <f t="shared" si="9"/>
        <v>2132.426548474582</v>
      </c>
    </row>
    <row r="308" spans="2:14" x14ac:dyDescent="0.3">
      <c r="B308">
        <v>45.12</v>
      </c>
      <c r="C308">
        <v>3762</v>
      </c>
      <c r="D308">
        <v>287</v>
      </c>
      <c r="E308">
        <v>3</v>
      </c>
      <c r="F308">
        <v>80</v>
      </c>
      <c r="G308">
        <v>8</v>
      </c>
      <c r="H308">
        <v>0</v>
      </c>
      <c r="I308">
        <v>0</v>
      </c>
      <c r="J308">
        <v>1</v>
      </c>
      <c r="K308">
        <v>1</v>
      </c>
      <c r="L308">
        <v>70</v>
      </c>
      <c r="M308">
        <f t="shared" si="8"/>
        <v>276.00480265268158</v>
      </c>
      <c r="N308">
        <f t="shared" si="9"/>
        <v>42437.978715970283</v>
      </c>
    </row>
    <row r="309" spans="2:14" x14ac:dyDescent="0.3">
      <c r="B309">
        <v>75.406000000000006</v>
      </c>
      <c r="C309">
        <v>3874</v>
      </c>
      <c r="D309">
        <v>298</v>
      </c>
      <c r="E309">
        <v>3</v>
      </c>
      <c r="F309">
        <v>41</v>
      </c>
      <c r="G309">
        <v>14</v>
      </c>
      <c r="H309">
        <v>1</v>
      </c>
      <c r="I309">
        <v>0</v>
      </c>
      <c r="J309">
        <v>1</v>
      </c>
      <c r="K309">
        <v>2</v>
      </c>
      <c r="L309">
        <v>0</v>
      </c>
      <c r="M309">
        <f t="shared" si="8"/>
        <v>98.993162043319558</v>
      </c>
      <c r="N309">
        <f t="shared" si="9"/>
        <v>9799.6461313349246</v>
      </c>
    </row>
    <row r="310" spans="2:14" x14ac:dyDescent="0.3">
      <c r="B310">
        <v>14.956</v>
      </c>
      <c r="C310">
        <v>4640</v>
      </c>
      <c r="D310">
        <v>332</v>
      </c>
      <c r="E310">
        <v>2</v>
      </c>
      <c r="F310">
        <v>33</v>
      </c>
      <c r="G310">
        <v>6</v>
      </c>
      <c r="H310">
        <v>0</v>
      </c>
      <c r="I310">
        <v>0</v>
      </c>
      <c r="J310">
        <v>0</v>
      </c>
      <c r="K310">
        <v>2</v>
      </c>
      <c r="L310">
        <v>681</v>
      </c>
      <c r="M310">
        <f t="shared" si="8"/>
        <v>868.85459043675326</v>
      </c>
      <c r="N310">
        <f t="shared" si="9"/>
        <v>35289.347148160305</v>
      </c>
    </row>
    <row r="311" spans="2:14" x14ac:dyDescent="0.3">
      <c r="B311">
        <v>75.257000000000005</v>
      </c>
      <c r="C311">
        <v>7010</v>
      </c>
      <c r="D311">
        <v>494</v>
      </c>
      <c r="E311">
        <v>3</v>
      </c>
      <c r="F311">
        <v>34</v>
      </c>
      <c r="G311">
        <v>18</v>
      </c>
      <c r="H311">
        <v>1</v>
      </c>
      <c r="I311">
        <v>0</v>
      </c>
      <c r="J311">
        <v>1</v>
      </c>
      <c r="K311">
        <v>1</v>
      </c>
      <c r="L311">
        <v>885</v>
      </c>
      <c r="M311">
        <f t="shared" si="8"/>
        <v>839.97006556926658</v>
      </c>
      <c r="N311">
        <f t="shared" si="9"/>
        <v>2027.6949948361512</v>
      </c>
    </row>
    <row r="312" spans="2:14" x14ac:dyDescent="0.3">
      <c r="B312">
        <v>33.694000000000003</v>
      </c>
      <c r="C312">
        <v>4891</v>
      </c>
      <c r="D312">
        <v>369</v>
      </c>
      <c r="E312">
        <v>1</v>
      </c>
      <c r="F312">
        <v>52</v>
      </c>
      <c r="G312">
        <v>16</v>
      </c>
      <c r="H312">
        <v>0</v>
      </c>
      <c r="I312">
        <v>1</v>
      </c>
      <c r="J312">
        <v>0</v>
      </c>
      <c r="K312">
        <v>0</v>
      </c>
      <c r="L312">
        <v>1036</v>
      </c>
      <c r="M312">
        <f t="shared" si="8"/>
        <v>900.81847980516045</v>
      </c>
      <c r="N312">
        <f t="shared" si="9"/>
        <v>18274.043402187814</v>
      </c>
    </row>
    <row r="313" spans="2:14" x14ac:dyDescent="0.3">
      <c r="B313">
        <v>23.375</v>
      </c>
      <c r="C313">
        <v>5429</v>
      </c>
      <c r="D313">
        <v>396</v>
      </c>
      <c r="E313">
        <v>3</v>
      </c>
      <c r="F313">
        <v>57</v>
      </c>
      <c r="G313">
        <v>15</v>
      </c>
      <c r="H313">
        <v>1</v>
      </c>
      <c r="I313">
        <v>0</v>
      </c>
      <c r="J313">
        <v>1</v>
      </c>
      <c r="K313">
        <v>1</v>
      </c>
      <c r="L313">
        <v>844</v>
      </c>
      <c r="M313">
        <f t="shared" si="8"/>
        <v>802.52962517667493</v>
      </c>
      <c r="N313">
        <f t="shared" si="9"/>
        <v>1719.7919879870742</v>
      </c>
    </row>
    <row r="314" spans="2:14" x14ac:dyDescent="0.3">
      <c r="B314">
        <v>27.824999999999999</v>
      </c>
      <c r="C314">
        <v>5227</v>
      </c>
      <c r="D314">
        <v>386</v>
      </c>
      <c r="E314">
        <v>6</v>
      </c>
      <c r="F314">
        <v>63</v>
      </c>
      <c r="G314">
        <v>11</v>
      </c>
      <c r="H314">
        <v>0</v>
      </c>
      <c r="I314">
        <v>0</v>
      </c>
      <c r="J314">
        <v>1</v>
      </c>
      <c r="K314">
        <v>1</v>
      </c>
      <c r="L314">
        <v>823</v>
      </c>
      <c r="M314">
        <f t="shared" si="8"/>
        <v>767.2727778471268</v>
      </c>
      <c r="N314">
        <f t="shared" si="9"/>
        <v>3105.5232888756809</v>
      </c>
    </row>
    <row r="315" spans="2:14" x14ac:dyDescent="0.3">
      <c r="B315">
        <v>92.385999999999996</v>
      </c>
      <c r="C315">
        <v>7685</v>
      </c>
      <c r="D315">
        <v>534</v>
      </c>
      <c r="E315">
        <v>2</v>
      </c>
      <c r="F315">
        <v>75</v>
      </c>
      <c r="G315">
        <v>18</v>
      </c>
      <c r="H315">
        <v>1</v>
      </c>
      <c r="I315">
        <v>0</v>
      </c>
      <c r="J315">
        <v>1</v>
      </c>
      <c r="K315">
        <v>2</v>
      </c>
      <c r="L315">
        <v>843</v>
      </c>
      <c r="M315">
        <f t="shared" si="8"/>
        <v>773.39246924574775</v>
      </c>
      <c r="N315">
        <f t="shared" si="9"/>
        <v>4845.2083377041736</v>
      </c>
    </row>
    <row r="316" spans="2:14" x14ac:dyDescent="0.3">
      <c r="B316">
        <v>115.52</v>
      </c>
      <c r="C316">
        <v>9272</v>
      </c>
      <c r="D316">
        <v>656</v>
      </c>
      <c r="E316">
        <v>2</v>
      </c>
      <c r="F316">
        <v>69</v>
      </c>
      <c r="G316">
        <v>14</v>
      </c>
      <c r="H316">
        <v>0</v>
      </c>
      <c r="I316">
        <v>0</v>
      </c>
      <c r="J316">
        <v>0</v>
      </c>
      <c r="K316">
        <v>0</v>
      </c>
      <c r="L316">
        <v>1140</v>
      </c>
      <c r="M316">
        <f t="shared" si="8"/>
        <v>1081.7431602253571</v>
      </c>
      <c r="N316">
        <f t="shared" si="9"/>
        <v>3393.8593805284163</v>
      </c>
    </row>
    <row r="317" spans="2:14" x14ac:dyDescent="0.3">
      <c r="B317">
        <v>14.478999999999999</v>
      </c>
      <c r="C317">
        <v>3907</v>
      </c>
      <c r="D317">
        <v>296</v>
      </c>
      <c r="E317">
        <v>3</v>
      </c>
      <c r="F317">
        <v>43</v>
      </c>
      <c r="G317">
        <v>16</v>
      </c>
      <c r="H317">
        <v>0</v>
      </c>
      <c r="I317">
        <v>0</v>
      </c>
      <c r="J317">
        <v>1</v>
      </c>
      <c r="K317">
        <v>1</v>
      </c>
      <c r="L317">
        <v>463</v>
      </c>
      <c r="M317">
        <f t="shared" si="8"/>
        <v>509.41689064242223</v>
      </c>
      <c r="N317">
        <f t="shared" si="9"/>
        <v>2154.5277369105847</v>
      </c>
    </row>
    <row r="318" spans="2:14" x14ac:dyDescent="0.3">
      <c r="B318">
        <v>52.179000000000002</v>
      </c>
      <c r="C318">
        <v>7306</v>
      </c>
      <c r="D318">
        <v>522</v>
      </c>
      <c r="E318">
        <v>2</v>
      </c>
      <c r="F318">
        <v>57</v>
      </c>
      <c r="G318">
        <v>14</v>
      </c>
      <c r="H318">
        <v>0</v>
      </c>
      <c r="I318">
        <v>0</v>
      </c>
      <c r="J318">
        <v>0</v>
      </c>
      <c r="K318">
        <v>2</v>
      </c>
      <c r="L318">
        <v>1142</v>
      </c>
      <c r="M318">
        <f t="shared" si="8"/>
        <v>1078.4287672608989</v>
      </c>
      <c r="N318">
        <f t="shared" si="9"/>
        <v>4041.3016319689605</v>
      </c>
    </row>
    <row r="319" spans="2:14" x14ac:dyDescent="0.3">
      <c r="B319">
        <v>68.462000000000003</v>
      </c>
      <c r="C319">
        <v>4712</v>
      </c>
      <c r="D319">
        <v>340</v>
      </c>
      <c r="E319">
        <v>2</v>
      </c>
      <c r="F319">
        <v>71</v>
      </c>
      <c r="G319">
        <v>16</v>
      </c>
      <c r="H319">
        <v>0</v>
      </c>
      <c r="I319">
        <v>0</v>
      </c>
      <c r="J319">
        <v>1</v>
      </c>
      <c r="K319">
        <v>1</v>
      </c>
      <c r="L319">
        <v>136</v>
      </c>
      <c r="M319">
        <f t="shared" si="8"/>
        <v>245.77514614241346</v>
      </c>
      <c r="N319">
        <f t="shared" si="9"/>
        <v>12050.582710588233</v>
      </c>
    </row>
    <row r="320" spans="2:14" x14ac:dyDescent="0.3">
      <c r="B320">
        <v>18.951000000000001</v>
      </c>
      <c r="C320">
        <v>1485</v>
      </c>
      <c r="D320">
        <v>129</v>
      </c>
      <c r="E320">
        <v>3</v>
      </c>
      <c r="F320">
        <v>82</v>
      </c>
      <c r="G320">
        <v>13</v>
      </c>
      <c r="H320">
        <v>1</v>
      </c>
      <c r="I320">
        <v>0</v>
      </c>
      <c r="J320">
        <v>0</v>
      </c>
      <c r="K320">
        <v>1</v>
      </c>
      <c r="L320">
        <v>0</v>
      </c>
      <c r="M320">
        <f t="shared" si="8"/>
        <v>-186.51375863093926</v>
      </c>
      <c r="N320">
        <f t="shared" si="9"/>
        <v>34787.38215864027</v>
      </c>
    </row>
    <row r="321" spans="2:14" x14ac:dyDescent="0.3">
      <c r="B321">
        <v>27.59</v>
      </c>
      <c r="C321">
        <v>2586</v>
      </c>
      <c r="D321">
        <v>229</v>
      </c>
      <c r="E321">
        <v>5</v>
      </c>
      <c r="F321">
        <v>54</v>
      </c>
      <c r="G321">
        <v>16</v>
      </c>
      <c r="H321">
        <v>0</v>
      </c>
      <c r="I321">
        <v>0</v>
      </c>
      <c r="J321">
        <v>1</v>
      </c>
      <c r="K321">
        <v>0</v>
      </c>
      <c r="L321">
        <v>0</v>
      </c>
      <c r="M321">
        <f t="shared" si="8"/>
        <v>57.451020071184566</v>
      </c>
      <c r="N321">
        <f t="shared" si="9"/>
        <v>3300.6197072196519</v>
      </c>
    </row>
    <row r="322" spans="2:14" x14ac:dyDescent="0.3">
      <c r="B322">
        <v>16.279</v>
      </c>
      <c r="C322">
        <v>1160</v>
      </c>
      <c r="D322">
        <v>126</v>
      </c>
      <c r="E322">
        <v>3</v>
      </c>
      <c r="F322">
        <v>78</v>
      </c>
      <c r="G322">
        <v>13</v>
      </c>
      <c r="H322">
        <v>0</v>
      </c>
      <c r="I322">
        <v>1</v>
      </c>
      <c r="J322">
        <v>1</v>
      </c>
      <c r="K322">
        <v>0</v>
      </c>
      <c r="L322">
        <v>5</v>
      </c>
      <c r="M322">
        <f t="shared" si="8"/>
        <v>72.17078826237389</v>
      </c>
      <c r="N322">
        <f t="shared" si="9"/>
        <v>4511.9147957886662</v>
      </c>
    </row>
    <row r="323" spans="2:14" x14ac:dyDescent="0.3">
      <c r="B323">
        <v>25.077999999999999</v>
      </c>
      <c r="C323">
        <v>3096</v>
      </c>
      <c r="D323">
        <v>236</v>
      </c>
      <c r="E323">
        <v>2</v>
      </c>
      <c r="F323">
        <v>27</v>
      </c>
      <c r="G323">
        <v>15</v>
      </c>
      <c r="H323">
        <v>1</v>
      </c>
      <c r="I323">
        <v>0</v>
      </c>
      <c r="J323">
        <v>1</v>
      </c>
      <c r="K323">
        <v>1</v>
      </c>
      <c r="L323">
        <v>81</v>
      </c>
      <c r="M323">
        <f t="shared" ref="M323:M386" si="10">$Q$3+$Q$4*B323+$Q$5*C323+$Q$6*D323+$Q$7*E323+$Q$8*F323+$Q$9*G323+$Q$10*H323+$Q$11*I323+$Q$12*J323+$Q$13*K323</f>
        <v>288.84312486747365</v>
      </c>
      <c r="N323">
        <f t="shared" ref="N323:N386" si="11">(L323-M323)^2</f>
        <v>43198.764554676243</v>
      </c>
    </row>
    <row r="324" spans="2:14" x14ac:dyDescent="0.3">
      <c r="B324">
        <v>27.228999999999999</v>
      </c>
      <c r="C324">
        <v>3484</v>
      </c>
      <c r="D324">
        <v>282</v>
      </c>
      <c r="E324">
        <v>6</v>
      </c>
      <c r="F324">
        <v>51</v>
      </c>
      <c r="G324">
        <v>11</v>
      </c>
      <c r="H324">
        <v>0</v>
      </c>
      <c r="I324">
        <v>0</v>
      </c>
      <c r="J324">
        <v>0</v>
      </c>
      <c r="K324">
        <v>1</v>
      </c>
      <c r="L324">
        <v>265</v>
      </c>
      <c r="M324">
        <f t="shared" si="10"/>
        <v>369.31557146969266</v>
      </c>
      <c r="N324">
        <f t="shared" si="11"/>
        <v>10881.738451048557</v>
      </c>
    </row>
    <row r="325" spans="2:14" x14ac:dyDescent="0.3">
      <c r="B325">
        <v>182.72800000000001</v>
      </c>
      <c r="C325">
        <v>13913</v>
      </c>
      <c r="D325">
        <v>982</v>
      </c>
      <c r="E325">
        <v>4</v>
      </c>
      <c r="F325">
        <v>98</v>
      </c>
      <c r="G325">
        <v>17</v>
      </c>
      <c r="H325">
        <v>0</v>
      </c>
      <c r="I325">
        <v>0</v>
      </c>
      <c r="J325">
        <v>1</v>
      </c>
      <c r="K325">
        <v>1</v>
      </c>
      <c r="L325">
        <v>1999</v>
      </c>
      <c r="M325">
        <f t="shared" si="10"/>
        <v>1632.7327740768817</v>
      </c>
      <c r="N325">
        <f t="shared" si="11"/>
        <v>134151.6807854166</v>
      </c>
    </row>
    <row r="326" spans="2:14" x14ac:dyDescent="0.3">
      <c r="B326">
        <v>31.029</v>
      </c>
      <c r="C326">
        <v>2863</v>
      </c>
      <c r="D326">
        <v>223</v>
      </c>
      <c r="E326">
        <v>2</v>
      </c>
      <c r="F326">
        <v>66</v>
      </c>
      <c r="G326">
        <v>17</v>
      </c>
      <c r="H326">
        <v>0</v>
      </c>
      <c r="I326">
        <v>1</v>
      </c>
      <c r="J326">
        <v>1</v>
      </c>
      <c r="K326">
        <v>2</v>
      </c>
      <c r="L326">
        <v>415</v>
      </c>
      <c r="M326">
        <f t="shared" si="10"/>
        <v>360.56761187148231</v>
      </c>
      <c r="N326">
        <f t="shared" si="11"/>
        <v>2962.8848773735931</v>
      </c>
    </row>
    <row r="327" spans="2:14" x14ac:dyDescent="0.3">
      <c r="B327">
        <v>17.765000000000001</v>
      </c>
      <c r="C327">
        <v>5072</v>
      </c>
      <c r="D327">
        <v>364</v>
      </c>
      <c r="E327">
        <v>1</v>
      </c>
      <c r="F327">
        <v>66</v>
      </c>
      <c r="G327">
        <v>12</v>
      </c>
      <c r="H327">
        <v>1</v>
      </c>
      <c r="I327">
        <v>0</v>
      </c>
      <c r="J327">
        <v>1</v>
      </c>
      <c r="K327">
        <v>1</v>
      </c>
      <c r="L327">
        <v>732</v>
      </c>
      <c r="M327">
        <f t="shared" si="10"/>
        <v>774.45401243803087</v>
      </c>
      <c r="N327">
        <f t="shared" si="11"/>
        <v>1802.3431720884801</v>
      </c>
    </row>
    <row r="328" spans="2:14" x14ac:dyDescent="0.3">
      <c r="B328">
        <v>125.48</v>
      </c>
      <c r="C328">
        <v>10230</v>
      </c>
      <c r="D328">
        <v>721</v>
      </c>
      <c r="E328">
        <v>3</v>
      </c>
      <c r="F328">
        <v>82</v>
      </c>
      <c r="G328">
        <v>16</v>
      </c>
      <c r="H328">
        <v>0</v>
      </c>
      <c r="I328">
        <v>0</v>
      </c>
      <c r="J328">
        <v>1</v>
      </c>
      <c r="K328">
        <v>1</v>
      </c>
      <c r="L328">
        <v>1361</v>
      </c>
      <c r="M328">
        <f t="shared" si="10"/>
        <v>1183.4254881462823</v>
      </c>
      <c r="N328">
        <f t="shared" si="11"/>
        <v>31532.707260086125</v>
      </c>
    </row>
    <row r="329" spans="2:14" x14ac:dyDescent="0.3">
      <c r="B329">
        <v>49.165999999999997</v>
      </c>
      <c r="C329">
        <v>6662</v>
      </c>
      <c r="D329">
        <v>508</v>
      </c>
      <c r="E329">
        <v>3</v>
      </c>
      <c r="F329">
        <v>68</v>
      </c>
      <c r="G329">
        <v>14</v>
      </c>
      <c r="H329">
        <v>1</v>
      </c>
      <c r="I329">
        <v>0</v>
      </c>
      <c r="J329">
        <v>0</v>
      </c>
      <c r="K329">
        <v>2</v>
      </c>
      <c r="L329">
        <v>984</v>
      </c>
      <c r="M329">
        <f t="shared" si="10"/>
        <v>910.36696828588595</v>
      </c>
      <c r="N329">
        <f t="shared" si="11"/>
        <v>5421.8233594117264</v>
      </c>
    </row>
    <row r="330" spans="2:14" x14ac:dyDescent="0.3">
      <c r="B330">
        <v>41.192</v>
      </c>
      <c r="C330">
        <v>3673</v>
      </c>
      <c r="D330">
        <v>297</v>
      </c>
      <c r="E330">
        <v>3</v>
      </c>
      <c r="F330">
        <v>54</v>
      </c>
      <c r="G330">
        <v>16</v>
      </c>
      <c r="H330">
        <v>1</v>
      </c>
      <c r="I330">
        <v>0</v>
      </c>
      <c r="J330">
        <v>1</v>
      </c>
      <c r="K330">
        <v>1</v>
      </c>
      <c r="L330">
        <v>121</v>
      </c>
      <c r="M330">
        <f t="shared" si="10"/>
        <v>229.2807230988451</v>
      </c>
      <c r="N330">
        <f t="shared" si="11"/>
        <v>11724.714994808766</v>
      </c>
    </row>
    <row r="331" spans="2:14" x14ac:dyDescent="0.3">
      <c r="B331">
        <v>94.192999999999998</v>
      </c>
      <c r="C331">
        <v>7576</v>
      </c>
      <c r="D331">
        <v>527</v>
      </c>
      <c r="E331">
        <v>2</v>
      </c>
      <c r="F331">
        <v>44</v>
      </c>
      <c r="G331">
        <v>16</v>
      </c>
      <c r="H331">
        <v>1</v>
      </c>
      <c r="I331">
        <v>0</v>
      </c>
      <c r="J331">
        <v>1</v>
      </c>
      <c r="K331">
        <v>1</v>
      </c>
      <c r="L331">
        <v>846</v>
      </c>
      <c r="M331">
        <f t="shared" si="10"/>
        <v>848.18703432391123</v>
      </c>
      <c r="N331">
        <f t="shared" si="11"/>
        <v>4.7831191339658705</v>
      </c>
    </row>
    <row r="332" spans="2:14" x14ac:dyDescent="0.3">
      <c r="B332">
        <v>20.405000000000001</v>
      </c>
      <c r="C332">
        <v>4543</v>
      </c>
      <c r="D332">
        <v>329</v>
      </c>
      <c r="E332">
        <v>2</v>
      </c>
      <c r="F332">
        <v>72</v>
      </c>
      <c r="G332">
        <v>17</v>
      </c>
      <c r="H332">
        <v>0</v>
      </c>
      <c r="I332">
        <v>1</v>
      </c>
      <c r="J332">
        <v>0</v>
      </c>
      <c r="K332">
        <v>2</v>
      </c>
      <c r="L332">
        <v>1054</v>
      </c>
      <c r="M332">
        <f t="shared" si="10"/>
        <v>839.76544845645992</v>
      </c>
      <c r="N332">
        <f t="shared" si="11"/>
        <v>45896.443075061732</v>
      </c>
    </row>
    <row r="333" spans="2:14" x14ac:dyDescent="0.3">
      <c r="B333">
        <v>12.581</v>
      </c>
      <c r="C333">
        <v>3976</v>
      </c>
      <c r="D333">
        <v>291</v>
      </c>
      <c r="E333">
        <v>2</v>
      </c>
      <c r="F333">
        <v>48</v>
      </c>
      <c r="G333">
        <v>16</v>
      </c>
      <c r="H333">
        <v>0</v>
      </c>
      <c r="I333">
        <v>0</v>
      </c>
      <c r="J333">
        <v>1</v>
      </c>
      <c r="K333">
        <v>1</v>
      </c>
      <c r="L333">
        <v>474</v>
      </c>
      <c r="M333">
        <f t="shared" si="10"/>
        <v>526.10512426421235</v>
      </c>
      <c r="N333">
        <f t="shared" si="11"/>
        <v>2714.9439745890104</v>
      </c>
    </row>
    <row r="334" spans="2:14" x14ac:dyDescent="0.3">
      <c r="B334">
        <v>62.328000000000003</v>
      </c>
      <c r="C334">
        <v>5228</v>
      </c>
      <c r="D334">
        <v>377</v>
      </c>
      <c r="E334">
        <v>3</v>
      </c>
      <c r="F334">
        <v>83</v>
      </c>
      <c r="G334">
        <v>15</v>
      </c>
      <c r="H334">
        <v>0</v>
      </c>
      <c r="I334">
        <v>0</v>
      </c>
      <c r="J334">
        <v>0</v>
      </c>
      <c r="K334">
        <v>1</v>
      </c>
      <c r="L334">
        <v>380</v>
      </c>
      <c r="M334">
        <f t="shared" si="10"/>
        <v>402.0906625312636</v>
      </c>
      <c r="N334">
        <f t="shared" si="11"/>
        <v>487.9973710701737</v>
      </c>
    </row>
    <row r="335" spans="2:14" x14ac:dyDescent="0.3">
      <c r="B335">
        <v>21.010999999999999</v>
      </c>
      <c r="C335">
        <v>3402</v>
      </c>
      <c r="D335">
        <v>261</v>
      </c>
      <c r="E335">
        <v>2</v>
      </c>
      <c r="F335">
        <v>68</v>
      </c>
      <c r="G335">
        <v>17</v>
      </c>
      <c r="H335">
        <v>0</v>
      </c>
      <c r="I335">
        <v>0</v>
      </c>
      <c r="J335">
        <v>1</v>
      </c>
      <c r="K335">
        <v>0</v>
      </c>
      <c r="L335">
        <v>182</v>
      </c>
      <c r="M335">
        <f t="shared" si="10"/>
        <v>253.19090507296013</v>
      </c>
      <c r="N335">
        <f t="shared" si="11"/>
        <v>5068.1449651072207</v>
      </c>
    </row>
    <row r="336" spans="2:14" x14ac:dyDescent="0.3">
      <c r="B336">
        <v>24.23</v>
      </c>
      <c r="C336">
        <v>4756</v>
      </c>
      <c r="D336">
        <v>351</v>
      </c>
      <c r="E336">
        <v>2</v>
      </c>
      <c r="F336">
        <v>64</v>
      </c>
      <c r="G336">
        <v>15</v>
      </c>
      <c r="H336">
        <v>1</v>
      </c>
      <c r="I336">
        <v>0</v>
      </c>
      <c r="J336">
        <v>1</v>
      </c>
      <c r="K336">
        <v>1</v>
      </c>
      <c r="L336">
        <v>594</v>
      </c>
      <c r="M336">
        <f t="shared" si="10"/>
        <v>609.00279098239685</v>
      </c>
      <c r="N336">
        <f t="shared" si="11"/>
        <v>225.08373726148812</v>
      </c>
    </row>
    <row r="337" spans="2:14" x14ac:dyDescent="0.3">
      <c r="B337">
        <v>24.314</v>
      </c>
      <c r="C337">
        <v>3409</v>
      </c>
      <c r="D337">
        <v>270</v>
      </c>
      <c r="E337">
        <v>2</v>
      </c>
      <c r="F337">
        <v>23</v>
      </c>
      <c r="G337">
        <v>7</v>
      </c>
      <c r="H337">
        <v>1</v>
      </c>
      <c r="I337">
        <v>0</v>
      </c>
      <c r="J337">
        <v>1</v>
      </c>
      <c r="K337">
        <v>1</v>
      </c>
      <c r="L337">
        <v>194</v>
      </c>
      <c r="M337">
        <f t="shared" si="10"/>
        <v>506.52377060490653</v>
      </c>
      <c r="N337">
        <f t="shared" si="11"/>
        <v>97671.107193108241</v>
      </c>
    </row>
    <row r="338" spans="2:14" x14ac:dyDescent="0.3">
      <c r="B338">
        <v>32.856000000000002</v>
      </c>
      <c r="C338">
        <v>5884</v>
      </c>
      <c r="D338">
        <v>438</v>
      </c>
      <c r="E338">
        <v>4</v>
      </c>
      <c r="F338">
        <v>68</v>
      </c>
      <c r="G338">
        <v>13</v>
      </c>
      <c r="H338">
        <v>0</v>
      </c>
      <c r="I338">
        <v>0</v>
      </c>
      <c r="J338">
        <v>0</v>
      </c>
      <c r="K338">
        <v>1</v>
      </c>
      <c r="L338">
        <v>926</v>
      </c>
      <c r="M338">
        <f t="shared" si="10"/>
        <v>849.70754356930877</v>
      </c>
      <c r="N338">
        <f t="shared" si="11"/>
        <v>5820.5389082289203</v>
      </c>
    </row>
    <row r="339" spans="2:14" x14ac:dyDescent="0.3">
      <c r="B339">
        <v>12.414</v>
      </c>
      <c r="C339">
        <v>855</v>
      </c>
      <c r="D339">
        <v>119</v>
      </c>
      <c r="E339">
        <v>3</v>
      </c>
      <c r="F339">
        <v>32</v>
      </c>
      <c r="G339">
        <v>12</v>
      </c>
      <c r="H339">
        <v>0</v>
      </c>
      <c r="I339">
        <v>0</v>
      </c>
      <c r="J339">
        <v>1</v>
      </c>
      <c r="K339">
        <v>0</v>
      </c>
      <c r="L339">
        <v>0</v>
      </c>
      <c r="M339">
        <f t="shared" si="10"/>
        <v>-145.22372363946465</v>
      </c>
      <c r="N339">
        <f t="shared" si="11"/>
        <v>21089.929907711605</v>
      </c>
    </row>
    <row r="340" spans="2:14" x14ac:dyDescent="0.3">
      <c r="B340">
        <v>41.365000000000002</v>
      </c>
      <c r="C340">
        <v>5303</v>
      </c>
      <c r="D340">
        <v>377</v>
      </c>
      <c r="E340">
        <v>1</v>
      </c>
      <c r="F340">
        <v>45</v>
      </c>
      <c r="G340">
        <v>14</v>
      </c>
      <c r="H340">
        <v>0</v>
      </c>
      <c r="I340">
        <v>0</v>
      </c>
      <c r="J340">
        <v>0</v>
      </c>
      <c r="K340">
        <v>1</v>
      </c>
      <c r="L340">
        <v>606</v>
      </c>
      <c r="M340">
        <f t="shared" si="10"/>
        <v>688.5808038286616</v>
      </c>
      <c r="N340">
        <f t="shared" si="11"/>
        <v>6819.5891609878909</v>
      </c>
    </row>
    <row r="341" spans="2:14" x14ac:dyDescent="0.3">
      <c r="B341">
        <v>149.316</v>
      </c>
      <c r="C341">
        <v>10278</v>
      </c>
      <c r="D341">
        <v>707</v>
      </c>
      <c r="E341">
        <v>1</v>
      </c>
      <c r="F341">
        <v>80</v>
      </c>
      <c r="G341">
        <v>16</v>
      </c>
      <c r="H341">
        <v>0</v>
      </c>
      <c r="I341">
        <v>0</v>
      </c>
      <c r="J341">
        <v>0</v>
      </c>
      <c r="K341">
        <v>0</v>
      </c>
      <c r="L341">
        <v>1107</v>
      </c>
      <c r="M341">
        <f t="shared" si="10"/>
        <v>1028.5113049588977</v>
      </c>
      <c r="N341">
        <f t="shared" si="11"/>
        <v>6160.4752492551643</v>
      </c>
    </row>
    <row r="342" spans="2:14" x14ac:dyDescent="0.3">
      <c r="B342">
        <v>27.794</v>
      </c>
      <c r="C342">
        <v>3807</v>
      </c>
      <c r="D342">
        <v>301</v>
      </c>
      <c r="E342">
        <v>4</v>
      </c>
      <c r="F342">
        <v>35</v>
      </c>
      <c r="G342">
        <v>8</v>
      </c>
      <c r="H342">
        <v>1</v>
      </c>
      <c r="I342">
        <v>0</v>
      </c>
      <c r="J342">
        <v>1</v>
      </c>
      <c r="K342">
        <v>0</v>
      </c>
      <c r="L342">
        <v>320</v>
      </c>
      <c r="M342">
        <f t="shared" si="10"/>
        <v>534.37172995477817</v>
      </c>
      <c r="N342">
        <f t="shared" si="11"/>
        <v>45955.238603804341</v>
      </c>
    </row>
    <row r="343" spans="2:14" x14ac:dyDescent="0.3">
      <c r="B343">
        <v>13.234</v>
      </c>
      <c r="C343">
        <v>3922</v>
      </c>
      <c r="D343">
        <v>299</v>
      </c>
      <c r="E343">
        <v>2</v>
      </c>
      <c r="F343">
        <v>77</v>
      </c>
      <c r="G343">
        <v>17</v>
      </c>
      <c r="H343">
        <v>1</v>
      </c>
      <c r="I343">
        <v>0</v>
      </c>
      <c r="J343">
        <v>1</v>
      </c>
      <c r="K343">
        <v>1</v>
      </c>
      <c r="L343">
        <v>426</v>
      </c>
      <c r="M343">
        <f t="shared" si="10"/>
        <v>414.06187289077798</v>
      </c>
      <c r="N343">
        <f t="shared" si="11"/>
        <v>142.51887887594177</v>
      </c>
    </row>
    <row r="344" spans="2:14" x14ac:dyDescent="0.3">
      <c r="B344">
        <v>14.595000000000001</v>
      </c>
      <c r="C344">
        <v>2955</v>
      </c>
      <c r="D344">
        <v>260</v>
      </c>
      <c r="E344">
        <v>5</v>
      </c>
      <c r="F344">
        <v>37</v>
      </c>
      <c r="G344">
        <v>9</v>
      </c>
      <c r="H344">
        <v>0</v>
      </c>
      <c r="I344">
        <v>0</v>
      </c>
      <c r="J344">
        <v>1</v>
      </c>
      <c r="K344">
        <v>0</v>
      </c>
      <c r="L344">
        <v>204</v>
      </c>
      <c r="M344">
        <f t="shared" si="10"/>
        <v>396.73961594026429</v>
      </c>
      <c r="N344">
        <f t="shared" si="11"/>
        <v>37148.55955280058</v>
      </c>
    </row>
    <row r="345" spans="2:14" x14ac:dyDescent="0.3">
      <c r="B345">
        <v>10.734999999999999</v>
      </c>
      <c r="C345">
        <v>3746</v>
      </c>
      <c r="D345">
        <v>280</v>
      </c>
      <c r="E345">
        <v>2</v>
      </c>
      <c r="F345">
        <v>44</v>
      </c>
      <c r="G345">
        <v>17</v>
      </c>
      <c r="H345">
        <v>1</v>
      </c>
      <c r="I345">
        <v>0</v>
      </c>
      <c r="J345">
        <v>1</v>
      </c>
      <c r="K345">
        <v>1</v>
      </c>
      <c r="L345">
        <v>410</v>
      </c>
      <c r="M345">
        <f t="shared" si="10"/>
        <v>477.33417407922445</v>
      </c>
      <c r="N345">
        <f t="shared" si="11"/>
        <v>4533.8909989313024</v>
      </c>
    </row>
    <row r="346" spans="2:14" x14ac:dyDescent="0.3">
      <c r="B346">
        <v>48.218000000000004</v>
      </c>
      <c r="C346">
        <v>5199</v>
      </c>
      <c r="D346">
        <v>401</v>
      </c>
      <c r="E346">
        <v>7</v>
      </c>
      <c r="F346">
        <v>39</v>
      </c>
      <c r="G346">
        <v>10</v>
      </c>
      <c r="H346">
        <v>0</v>
      </c>
      <c r="I346">
        <v>0</v>
      </c>
      <c r="J346">
        <v>1</v>
      </c>
      <c r="K346">
        <v>2</v>
      </c>
      <c r="L346">
        <v>633</v>
      </c>
      <c r="M346">
        <f t="shared" si="10"/>
        <v>694.42960367539047</v>
      </c>
      <c r="N346">
        <f t="shared" si="11"/>
        <v>3773.5962077155459</v>
      </c>
    </row>
    <row r="347" spans="2:14" x14ac:dyDescent="0.3">
      <c r="B347">
        <v>30.012</v>
      </c>
      <c r="C347">
        <v>1511</v>
      </c>
      <c r="D347">
        <v>137</v>
      </c>
      <c r="E347">
        <v>2</v>
      </c>
      <c r="F347">
        <v>33</v>
      </c>
      <c r="G347">
        <v>17</v>
      </c>
      <c r="H347">
        <v>0</v>
      </c>
      <c r="I347">
        <v>0</v>
      </c>
      <c r="J347">
        <v>1</v>
      </c>
      <c r="K347">
        <v>1</v>
      </c>
      <c r="L347">
        <v>0</v>
      </c>
      <c r="M347">
        <f t="shared" si="10"/>
        <v>-188.86062018894256</v>
      </c>
      <c r="N347">
        <f t="shared" si="11"/>
        <v>35668.333858152022</v>
      </c>
    </row>
    <row r="348" spans="2:14" x14ac:dyDescent="0.3">
      <c r="B348">
        <v>21.550999999999998</v>
      </c>
      <c r="C348">
        <v>5380</v>
      </c>
      <c r="D348">
        <v>420</v>
      </c>
      <c r="E348">
        <v>5</v>
      </c>
      <c r="F348">
        <v>51</v>
      </c>
      <c r="G348">
        <v>18</v>
      </c>
      <c r="H348">
        <v>0</v>
      </c>
      <c r="I348">
        <v>0</v>
      </c>
      <c r="J348">
        <v>1</v>
      </c>
      <c r="K348">
        <v>2</v>
      </c>
      <c r="L348">
        <v>907</v>
      </c>
      <c r="M348">
        <f t="shared" si="10"/>
        <v>774.67051528025547</v>
      </c>
      <c r="N348">
        <f t="shared" si="11"/>
        <v>17511.092526193101</v>
      </c>
    </row>
    <row r="349" spans="2:14" x14ac:dyDescent="0.3">
      <c r="B349">
        <v>160.23099999999999</v>
      </c>
      <c r="C349">
        <v>10748</v>
      </c>
      <c r="D349">
        <v>754</v>
      </c>
      <c r="E349">
        <v>2</v>
      </c>
      <c r="F349">
        <v>69</v>
      </c>
      <c r="G349">
        <v>17</v>
      </c>
      <c r="H349">
        <v>0</v>
      </c>
      <c r="I349">
        <v>0</v>
      </c>
      <c r="J349">
        <v>0</v>
      </c>
      <c r="K349">
        <v>1</v>
      </c>
      <c r="L349">
        <v>1192</v>
      </c>
      <c r="M349">
        <f t="shared" si="10"/>
        <v>1082.0691687949204</v>
      </c>
      <c r="N349">
        <f t="shared" si="11"/>
        <v>12084.787649439699</v>
      </c>
    </row>
    <row r="350" spans="2:14" x14ac:dyDescent="0.3">
      <c r="B350">
        <v>13.433</v>
      </c>
      <c r="C350">
        <v>1134</v>
      </c>
      <c r="D350">
        <v>112</v>
      </c>
      <c r="E350">
        <v>3</v>
      </c>
      <c r="F350">
        <v>70</v>
      </c>
      <c r="G350">
        <v>14</v>
      </c>
      <c r="H350">
        <v>0</v>
      </c>
      <c r="I350">
        <v>0</v>
      </c>
      <c r="J350">
        <v>1</v>
      </c>
      <c r="K350">
        <v>1</v>
      </c>
      <c r="L350">
        <v>0</v>
      </c>
      <c r="M350">
        <f t="shared" si="10"/>
        <v>-217.13052399514072</v>
      </c>
      <c r="N350">
        <f t="shared" si="11"/>
        <v>47145.66445040438</v>
      </c>
    </row>
    <row r="351" spans="2:14" x14ac:dyDescent="0.3">
      <c r="B351">
        <v>48.576999999999998</v>
      </c>
      <c r="C351">
        <v>5145</v>
      </c>
      <c r="D351">
        <v>389</v>
      </c>
      <c r="E351">
        <v>3</v>
      </c>
      <c r="F351">
        <v>71</v>
      </c>
      <c r="G351">
        <v>13</v>
      </c>
      <c r="H351">
        <v>1</v>
      </c>
      <c r="I351">
        <v>0</v>
      </c>
      <c r="J351">
        <v>1</v>
      </c>
      <c r="K351">
        <v>2</v>
      </c>
      <c r="L351">
        <v>503</v>
      </c>
      <c r="M351">
        <f t="shared" si="10"/>
        <v>543.22880162102047</v>
      </c>
      <c r="N351">
        <f t="shared" si="11"/>
        <v>1618.3564798634188</v>
      </c>
    </row>
    <row r="352" spans="2:14" x14ac:dyDescent="0.3">
      <c r="B352">
        <v>30.001999999999999</v>
      </c>
      <c r="C352">
        <v>1561</v>
      </c>
      <c r="D352">
        <v>155</v>
      </c>
      <c r="E352">
        <v>4</v>
      </c>
      <c r="F352">
        <v>70</v>
      </c>
      <c r="G352">
        <v>13</v>
      </c>
      <c r="H352">
        <v>1</v>
      </c>
      <c r="I352">
        <v>0</v>
      </c>
      <c r="J352">
        <v>1</v>
      </c>
      <c r="K352">
        <v>1</v>
      </c>
      <c r="L352">
        <v>0</v>
      </c>
      <c r="M352">
        <f t="shared" si="10"/>
        <v>-213.76528472244544</v>
      </c>
      <c r="N352">
        <f t="shared" si="11"/>
        <v>45695.596952468164</v>
      </c>
    </row>
    <row r="353" spans="2:14" x14ac:dyDescent="0.3">
      <c r="B353">
        <v>61.62</v>
      </c>
      <c r="C353">
        <v>5140</v>
      </c>
      <c r="D353">
        <v>374</v>
      </c>
      <c r="E353">
        <v>1</v>
      </c>
      <c r="F353">
        <v>71</v>
      </c>
      <c r="G353">
        <v>9</v>
      </c>
      <c r="H353">
        <v>0</v>
      </c>
      <c r="I353">
        <v>0</v>
      </c>
      <c r="J353">
        <v>1</v>
      </c>
      <c r="K353">
        <v>1</v>
      </c>
      <c r="L353">
        <v>302</v>
      </c>
      <c r="M353">
        <f t="shared" si="10"/>
        <v>509.00251129717458</v>
      </c>
      <c r="N353">
        <f t="shared" si="11"/>
        <v>42850.039683336887</v>
      </c>
    </row>
    <row r="354" spans="2:14" x14ac:dyDescent="0.3">
      <c r="B354">
        <v>104.483</v>
      </c>
      <c r="C354">
        <v>7140</v>
      </c>
      <c r="D354">
        <v>507</v>
      </c>
      <c r="E354">
        <v>2</v>
      </c>
      <c r="F354">
        <v>41</v>
      </c>
      <c r="G354">
        <v>14</v>
      </c>
      <c r="H354">
        <v>0</v>
      </c>
      <c r="I354">
        <v>0</v>
      </c>
      <c r="J354">
        <v>1</v>
      </c>
      <c r="K354">
        <v>0</v>
      </c>
      <c r="L354">
        <v>583</v>
      </c>
      <c r="M354">
        <f t="shared" si="10"/>
        <v>704.88789615111261</v>
      </c>
      <c r="N354">
        <f t="shared" si="11"/>
        <v>14856.659228144414</v>
      </c>
    </row>
    <row r="355" spans="2:14" x14ac:dyDescent="0.3">
      <c r="B355">
        <v>41.868000000000002</v>
      </c>
      <c r="C355">
        <v>4716</v>
      </c>
      <c r="D355">
        <v>342</v>
      </c>
      <c r="E355">
        <v>2</v>
      </c>
      <c r="F355">
        <v>47</v>
      </c>
      <c r="G355">
        <v>18</v>
      </c>
      <c r="H355">
        <v>0</v>
      </c>
      <c r="I355">
        <v>0</v>
      </c>
      <c r="J355">
        <v>0</v>
      </c>
      <c r="K355">
        <v>1</v>
      </c>
      <c r="L355">
        <v>425</v>
      </c>
      <c r="M355">
        <f t="shared" si="10"/>
        <v>472.12257016684708</v>
      </c>
      <c r="N355">
        <f t="shared" si="11"/>
        <v>2220.536619129427</v>
      </c>
    </row>
    <row r="356" spans="2:14" x14ac:dyDescent="0.3">
      <c r="B356">
        <v>12.068</v>
      </c>
      <c r="C356">
        <v>3873</v>
      </c>
      <c r="D356">
        <v>292</v>
      </c>
      <c r="E356">
        <v>1</v>
      </c>
      <c r="F356">
        <v>44</v>
      </c>
      <c r="G356">
        <v>18</v>
      </c>
      <c r="H356">
        <v>1</v>
      </c>
      <c r="I356">
        <v>0</v>
      </c>
      <c r="J356">
        <v>1</v>
      </c>
      <c r="K356">
        <v>2</v>
      </c>
      <c r="L356">
        <v>413</v>
      </c>
      <c r="M356">
        <f t="shared" si="10"/>
        <v>483.2319629937399</v>
      </c>
      <c r="N356">
        <f t="shared" si="11"/>
        <v>4932.5286259540508</v>
      </c>
    </row>
    <row r="357" spans="2:14" x14ac:dyDescent="0.3">
      <c r="B357">
        <v>180.68199999999999</v>
      </c>
      <c r="C357">
        <v>11966</v>
      </c>
      <c r="D357">
        <v>832</v>
      </c>
      <c r="E357">
        <v>2</v>
      </c>
      <c r="F357">
        <v>58</v>
      </c>
      <c r="G357">
        <v>8</v>
      </c>
      <c r="H357">
        <v>1</v>
      </c>
      <c r="I357">
        <v>0</v>
      </c>
      <c r="J357">
        <v>1</v>
      </c>
      <c r="K357">
        <v>0</v>
      </c>
      <c r="L357">
        <v>1405</v>
      </c>
      <c r="M357">
        <f t="shared" si="10"/>
        <v>1407.351478697879</v>
      </c>
      <c r="N357">
        <f t="shared" si="11"/>
        <v>5.5294520665785969</v>
      </c>
    </row>
    <row r="358" spans="2:14" x14ac:dyDescent="0.3">
      <c r="B358">
        <v>34.479999999999997</v>
      </c>
      <c r="C358">
        <v>6090</v>
      </c>
      <c r="D358">
        <v>442</v>
      </c>
      <c r="E358">
        <v>3</v>
      </c>
      <c r="F358">
        <v>36</v>
      </c>
      <c r="G358">
        <v>14</v>
      </c>
      <c r="H358">
        <v>0</v>
      </c>
      <c r="I358">
        <v>0</v>
      </c>
      <c r="J358">
        <v>0</v>
      </c>
      <c r="K358">
        <v>1</v>
      </c>
      <c r="L358">
        <v>962</v>
      </c>
      <c r="M358">
        <f t="shared" si="10"/>
        <v>959.97788082794477</v>
      </c>
      <c r="N358">
        <f t="shared" si="11"/>
        <v>4.0889659459933165</v>
      </c>
    </row>
    <row r="359" spans="2:14" x14ac:dyDescent="0.3">
      <c r="B359">
        <v>39.609000000000002</v>
      </c>
      <c r="C359">
        <v>2539</v>
      </c>
      <c r="D359">
        <v>188</v>
      </c>
      <c r="E359">
        <v>1</v>
      </c>
      <c r="F359">
        <v>40</v>
      </c>
      <c r="G359">
        <v>14</v>
      </c>
      <c r="H359">
        <v>0</v>
      </c>
      <c r="I359">
        <v>0</v>
      </c>
      <c r="J359">
        <v>1</v>
      </c>
      <c r="K359">
        <v>2</v>
      </c>
      <c r="L359">
        <v>0</v>
      </c>
      <c r="M359">
        <f t="shared" si="10"/>
        <v>24.816408424887474</v>
      </c>
      <c r="N359">
        <f t="shared" si="11"/>
        <v>615.85412711082597</v>
      </c>
    </row>
    <row r="360" spans="2:14" x14ac:dyDescent="0.3">
      <c r="B360">
        <v>30.111000000000001</v>
      </c>
      <c r="C360">
        <v>4336</v>
      </c>
      <c r="D360">
        <v>339</v>
      </c>
      <c r="E360">
        <v>1</v>
      </c>
      <c r="F360">
        <v>81</v>
      </c>
      <c r="G360">
        <v>18</v>
      </c>
      <c r="H360">
        <v>0</v>
      </c>
      <c r="I360">
        <v>0</v>
      </c>
      <c r="J360">
        <v>1</v>
      </c>
      <c r="K360">
        <v>1</v>
      </c>
      <c r="L360">
        <v>347</v>
      </c>
      <c r="M360">
        <f t="shared" si="10"/>
        <v>369.53602684906838</v>
      </c>
      <c r="N360">
        <f t="shared" si="11"/>
        <v>507.87250614193078</v>
      </c>
    </row>
    <row r="361" spans="2:14" x14ac:dyDescent="0.3">
      <c r="B361">
        <v>12.335000000000001</v>
      </c>
      <c r="C361">
        <v>4471</v>
      </c>
      <c r="D361">
        <v>344</v>
      </c>
      <c r="E361">
        <v>3</v>
      </c>
      <c r="F361">
        <v>79</v>
      </c>
      <c r="G361">
        <v>12</v>
      </c>
      <c r="H361">
        <v>0</v>
      </c>
      <c r="I361">
        <v>0</v>
      </c>
      <c r="J361">
        <v>1</v>
      </c>
      <c r="K361">
        <v>0</v>
      </c>
      <c r="L361">
        <v>611</v>
      </c>
      <c r="M361">
        <f t="shared" si="10"/>
        <v>630.11359324599823</v>
      </c>
      <c r="N361">
        <f t="shared" si="11"/>
        <v>365.32944677346921</v>
      </c>
    </row>
    <row r="362" spans="2:14" x14ac:dyDescent="0.3">
      <c r="B362">
        <v>53.566000000000003</v>
      </c>
      <c r="C362">
        <v>5891</v>
      </c>
      <c r="D362">
        <v>434</v>
      </c>
      <c r="E362">
        <v>4</v>
      </c>
      <c r="F362">
        <v>82</v>
      </c>
      <c r="G362">
        <v>10</v>
      </c>
      <c r="H362">
        <v>1</v>
      </c>
      <c r="I362">
        <v>0</v>
      </c>
      <c r="J362">
        <v>0</v>
      </c>
      <c r="K362">
        <v>1</v>
      </c>
      <c r="L362">
        <v>712</v>
      </c>
      <c r="M362">
        <f t="shared" si="10"/>
        <v>710.68682981667484</v>
      </c>
      <c r="N362">
        <f t="shared" si="11"/>
        <v>1.7244159303742224</v>
      </c>
    </row>
    <row r="363" spans="2:14" x14ac:dyDescent="0.3">
      <c r="B363">
        <v>53.216999999999999</v>
      </c>
      <c r="C363">
        <v>4943</v>
      </c>
      <c r="D363">
        <v>362</v>
      </c>
      <c r="E363">
        <v>2</v>
      </c>
      <c r="F363">
        <v>46</v>
      </c>
      <c r="G363">
        <v>16</v>
      </c>
      <c r="H363">
        <v>1</v>
      </c>
      <c r="I363">
        <v>0</v>
      </c>
      <c r="J363">
        <v>1</v>
      </c>
      <c r="K363">
        <v>2</v>
      </c>
      <c r="L363">
        <v>382</v>
      </c>
      <c r="M363">
        <f t="shared" si="10"/>
        <v>480.26499373446501</v>
      </c>
      <c r="N363">
        <f t="shared" si="11"/>
        <v>9656.0089936344466</v>
      </c>
    </row>
    <row r="364" spans="2:14" x14ac:dyDescent="0.3">
      <c r="B364">
        <v>26.161999999999999</v>
      </c>
      <c r="C364">
        <v>5101</v>
      </c>
      <c r="D364">
        <v>382</v>
      </c>
      <c r="E364">
        <v>3</v>
      </c>
      <c r="F364">
        <v>62</v>
      </c>
      <c r="G364">
        <v>19</v>
      </c>
      <c r="H364">
        <v>1</v>
      </c>
      <c r="I364">
        <v>0</v>
      </c>
      <c r="J364">
        <v>0</v>
      </c>
      <c r="K364">
        <v>0</v>
      </c>
      <c r="L364">
        <v>710</v>
      </c>
      <c r="M364">
        <f t="shared" si="10"/>
        <v>625.95885688767589</v>
      </c>
      <c r="N364">
        <f t="shared" si="11"/>
        <v>7062.9137356261417</v>
      </c>
    </row>
    <row r="365" spans="2:14" x14ac:dyDescent="0.3">
      <c r="B365">
        <v>64.173000000000002</v>
      </c>
      <c r="C365">
        <v>6127</v>
      </c>
      <c r="D365">
        <v>433</v>
      </c>
      <c r="E365">
        <v>1</v>
      </c>
      <c r="F365">
        <v>80</v>
      </c>
      <c r="G365">
        <v>10</v>
      </c>
      <c r="H365">
        <v>0</v>
      </c>
      <c r="I365">
        <v>0</v>
      </c>
      <c r="J365">
        <v>1</v>
      </c>
      <c r="K365">
        <v>1</v>
      </c>
      <c r="L365">
        <v>578</v>
      </c>
      <c r="M365">
        <f t="shared" si="10"/>
        <v>697.06804126771681</v>
      </c>
      <c r="N365">
        <f t="shared" si="11"/>
        <v>14177.198451330712</v>
      </c>
    </row>
    <row r="366" spans="2:14" x14ac:dyDescent="0.3">
      <c r="B366">
        <v>128.66900000000001</v>
      </c>
      <c r="C366">
        <v>9824</v>
      </c>
      <c r="D366">
        <v>685</v>
      </c>
      <c r="E366">
        <v>3</v>
      </c>
      <c r="F366">
        <v>67</v>
      </c>
      <c r="G366">
        <v>16</v>
      </c>
      <c r="H366">
        <v>0</v>
      </c>
      <c r="I366">
        <v>0</v>
      </c>
      <c r="J366">
        <v>1</v>
      </c>
      <c r="K366">
        <v>2</v>
      </c>
      <c r="L366">
        <v>1243</v>
      </c>
      <c r="M366">
        <f t="shared" si="10"/>
        <v>1099.3969486840558</v>
      </c>
      <c r="N366">
        <f t="shared" si="11"/>
        <v>20621.8363472497</v>
      </c>
    </row>
    <row r="367" spans="2:14" x14ac:dyDescent="0.3">
      <c r="B367">
        <v>113.77200000000001</v>
      </c>
      <c r="C367">
        <v>6442</v>
      </c>
      <c r="D367">
        <v>489</v>
      </c>
      <c r="E367">
        <v>4</v>
      </c>
      <c r="F367">
        <v>69</v>
      </c>
      <c r="G367">
        <v>15</v>
      </c>
      <c r="H367">
        <v>0</v>
      </c>
      <c r="I367">
        <v>1</v>
      </c>
      <c r="J367">
        <v>1</v>
      </c>
      <c r="K367">
        <v>1</v>
      </c>
      <c r="L367">
        <v>790</v>
      </c>
      <c r="M367">
        <f t="shared" si="10"/>
        <v>682.98114929725989</v>
      </c>
      <c r="N367">
        <f t="shared" si="11"/>
        <v>11453.034405735378</v>
      </c>
    </row>
    <row r="368" spans="2:14" x14ac:dyDescent="0.3">
      <c r="B368">
        <v>61.069000000000003</v>
      </c>
      <c r="C368">
        <v>7871</v>
      </c>
      <c r="D368">
        <v>564</v>
      </c>
      <c r="E368">
        <v>3</v>
      </c>
      <c r="F368">
        <v>56</v>
      </c>
      <c r="G368">
        <v>14</v>
      </c>
      <c r="H368">
        <v>0</v>
      </c>
      <c r="I368">
        <v>0</v>
      </c>
      <c r="J368">
        <v>1</v>
      </c>
      <c r="K368">
        <v>1</v>
      </c>
      <c r="L368">
        <v>1264</v>
      </c>
      <c r="M368">
        <f t="shared" si="10"/>
        <v>1159.0763041413104</v>
      </c>
      <c r="N368">
        <f t="shared" si="11"/>
        <v>11008.981952646796</v>
      </c>
    </row>
    <row r="369" spans="2:14" x14ac:dyDescent="0.3">
      <c r="B369">
        <v>23.792999999999999</v>
      </c>
      <c r="C369">
        <v>3615</v>
      </c>
      <c r="D369">
        <v>263</v>
      </c>
      <c r="E369">
        <v>2</v>
      </c>
      <c r="F369">
        <v>70</v>
      </c>
      <c r="G369">
        <v>14</v>
      </c>
      <c r="H369">
        <v>0</v>
      </c>
      <c r="I369">
        <v>0</v>
      </c>
      <c r="J369">
        <v>0</v>
      </c>
      <c r="K369">
        <v>0</v>
      </c>
      <c r="L369">
        <v>216</v>
      </c>
      <c r="M369">
        <f t="shared" si="10"/>
        <v>326.96790530478449</v>
      </c>
      <c r="N369">
        <f t="shared" si="11"/>
        <v>12313.876007731618</v>
      </c>
    </row>
    <row r="370" spans="2:14" x14ac:dyDescent="0.3">
      <c r="B370">
        <v>89</v>
      </c>
      <c r="C370">
        <v>5759</v>
      </c>
      <c r="D370">
        <v>440</v>
      </c>
      <c r="E370">
        <v>3</v>
      </c>
      <c r="F370">
        <v>37</v>
      </c>
      <c r="G370">
        <v>6</v>
      </c>
      <c r="H370">
        <v>1</v>
      </c>
      <c r="I370">
        <v>0</v>
      </c>
      <c r="J370">
        <v>0</v>
      </c>
      <c r="K370">
        <v>1</v>
      </c>
      <c r="L370">
        <v>345</v>
      </c>
      <c r="M370">
        <f t="shared" si="10"/>
        <v>605.98127907456933</v>
      </c>
      <c r="N370">
        <f t="shared" si="11"/>
        <v>68111.228027398232</v>
      </c>
    </row>
    <row r="371" spans="2:14" x14ac:dyDescent="0.3">
      <c r="B371">
        <v>71.682000000000002</v>
      </c>
      <c r="C371">
        <v>8028</v>
      </c>
      <c r="D371">
        <v>599</v>
      </c>
      <c r="E371">
        <v>3</v>
      </c>
      <c r="F371">
        <v>57</v>
      </c>
      <c r="G371">
        <v>16</v>
      </c>
      <c r="H371">
        <v>0</v>
      </c>
      <c r="I371">
        <v>0</v>
      </c>
      <c r="J371">
        <v>1</v>
      </c>
      <c r="K371">
        <v>1</v>
      </c>
      <c r="L371">
        <v>1208</v>
      </c>
      <c r="M371">
        <f t="shared" si="10"/>
        <v>1088.7190744773773</v>
      </c>
      <c r="N371">
        <f t="shared" si="11"/>
        <v>14227.939193533473</v>
      </c>
    </row>
    <row r="372" spans="2:14" x14ac:dyDescent="0.3">
      <c r="B372">
        <v>35.61</v>
      </c>
      <c r="C372">
        <v>6135</v>
      </c>
      <c r="D372">
        <v>466</v>
      </c>
      <c r="E372">
        <v>4</v>
      </c>
      <c r="F372">
        <v>40</v>
      </c>
      <c r="G372">
        <v>12</v>
      </c>
      <c r="H372">
        <v>0</v>
      </c>
      <c r="I372">
        <v>0</v>
      </c>
      <c r="J372">
        <v>0</v>
      </c>
      <c r="K372">
        <v>1</v>
      </c>
      <c r="L372">
        <v>992</v>
      </c>
      <c r="M372">
        <f t="shared" si="10"/>
        <v>983.80383413762002</v>
      </c>
      <c r="N372">
        <f t="shared" si="11"/>
        <v>67.177134843643046</v>
      </c>
    </row>
    <row r="373" spans="2:14" x14ac:dyDescent="0.3">
      <c r="B373">
        <v>39.116</v>
      </c>
      <c r="C373">
        <v>2150</v>
      </c>
      <c r="D373">
        <v>173</v>
      </c>
      <c r="E373">
        <v>4</v>
      </c>
      <c r="F373">
        <v>75</v>
      </c>
      <c r="G373">
        <v>15</v>
      </c>
      <c r="H373">
        <v>0</v>
      </c>
      <c r="I373">
        <v>0</v>
      </c>
      <c r="J373">
        <v>0</v>
      </c>
      <c r="K373">
        <v>1</v>
      </c>
      <c r="L373">
        <v>0</v>
      </c>
      <c r="M373">
        <f t="shared" si="10"/>
        <v>-176.74092825369209</v>
      </c>
      <c r="N373">
        <f t="shared" si="11"/>
        <v>31237.355719976735</v>
      </c>
    </row>
    <row r="374" spans="2:14" x14ac:dyDescent="0.3">
      <c r="B374">
        <v>19.782</v>
      </c>
      <c r="C374">
        <v>3782</v>
      </c>
      <c r="D374">
        <v>293</v>
      </c>
      <c r="E374">
        <v>2</v>
      </c>
      <c r="F374">
        <v>46</v>
      </c>
      <c r="G374">
        <v>16</v>
      </c>
      <c r="H374">
        <v>1</v>
      </c>
      <c r="I374">
        <v>1</v>
      </c>
      <c r="J374">
        <v>0</v>
      </c>
      <c r="K374">
        <v>1</v>
      </c>
      <c r="L374">
        <v>840</v>
      </c>
      <c r="M374">
        <f t="shared" si="10"/>
        <v>740.46185964201504</v>
      </c>
      <c r="N374">
        <f t="shared" si="11"/>
        <v>9907.8413859259144</v>
      </c>
    </row>
    <row r="375" spans="2:14" x14ac:dyDescent="0.3">
      <c r="B375">
        <v>55.411999999999999</v>
      </c>
      <c r="C375">
        <v>5354</v>
      </c>
      <c r="D375">
        <v>383</v>
      </c>
      <c r="E375">
        <v>2</v>
      </c>
      <c r="F375">
        <v>37</v>
      </c>
      <c r="G375">
        <v>16</v>
      </c>
      <c r="H375">
        <v>1</v>
      </c>
      <c r="I375">
        <v>1</v>
      </c>
      <c r="J375">
        <v>1</v>
      </c>
      <c r="K375">
        <v>1</v>
      </c>
      <c r="L375">
        <v>1003</v>
      </c>
      <c r="M375">
        <f t="shared" si="10"/>
        <v>900.70498778571562</v>
      </c>
      <c r="N375">
        <f t="shared" si="11"/>
        <v>10464.269523920591</v>
      </c>
    </row>
    <row r="376" spans="2:14" x14ac:dyDescent="0.3">
      <c r="B376">
        <v>29.4</v>
      </c>
      <c r="C376">
        <v>4840</v>
      </c>
      <c r="D376">
        <v>368</v>
      </c>
      <c r="E376">
        <v>3</v>
      </c>
      <c r="F376">
        <v>76</v>
      </c>
      <c r="G376">
        <v>18</v>
      </c>
      <c r="H376">
        <v>1</v>
      </c>
      <c r="I376">
        <v>0</v>
      </c>
      <c r="J376">
        <v>1</v>
      </c>
      <c r="K376">
        <v>1</v>
      </c>
      <c r="L376">
        <v>588</v>
      </c>
      <c r="M376">
        <f t="shared" si="10"/>
        <v>514.80568118203973</v>
      </c>
      <c r="N376">
        <f t="shared" si="11"/>
        <v>5357.4083072252124</v>
      </c>
    </row>
    <row r="377" spans="2:14" x14ac:dyDescent="0.3">
      <c r="B377">
        <v>20.974</v>
      </c>
      <c r="C377">
        <v>5673</v>
      </c>
      <c r="D377">
        <v>413</v>
      </c>
      <c r="E377">
        <v>5</v>
      </c>
      <c r="F377">
        <v>44</v>
      </c>
      <c r="G377">
        <v>16</v>
      </c>
      <c r="H377">
        <v>1</v>
      </c>
      <c r="I377">
        <v>0</v>
      </c>
      <c r="J377">
        <v>1</v>
      </c>
      <c r="K377">
        <v>1</v>
      </c>
      <c r="L377">
        <v>1000</v>
      </c>
      <c r="M377">
        <f t="shared" si="10"/>
        <v>901.53223682729879</v>
      </c>
      <c r="N377">
        <f t="shared" si="11"/>
        <v>9695.9003842351722</v>
      </c>
    </row>
    <row r="378" spans="2:14" x14ac:dyDescent="0.3">
      <c r="B378">
        <v>87.625</v>
      </c>
      <c r="C378">
        <v>7167</v>
      </c>
      <c r="D378">
        <v>515</v>
      </c>
      <c r="E378">
        <v>2</v>
      </c>
      <c r="F378">
        <v>46</v>
      </c>
      <c r="G378">
        <v>10</v>
      </c>
      <c r="H378">
        <v>1</v>
      </c>
      <c r="I378">
        <v>0</v>
      </c>
      <c r="J378">
        <v>0</v>
      </c>
      <c r="K378">
        <v>0</v>
      </c>
      <c r="L378">
        <v>767</v>
      </c>
      <c r="M378">
        <f t="shared" si="10"/>
        <v>880.7790624326318</v>
      </c>
      <c r="N378">
        <f t="shared" si="11"/>
        <v>12945.675048048726</v>
      </c>
    </row>
    <row r="379" spans="2:14" x14ac:dyDescent="0.3">
      <c r="B379">
        <v>28.143999999999998</v>
      </c>
      <c r="C379">
        <v>1567</v>
      </c>
      <c r="D379">
        <v>142</v>
      </c>
      <c r="E379">
        <v>3</v>
      </c>
      <c r="F379">
        <v>51</v>
      </c>
      <c r="G379">
        <v>10</v>
      </c>
      <c r="H379">
        <v>0</v>
      </c>
      <c r="I379">
        <v>0</v>
      </c>
      <c r="J379">
        <v>1</v>
      </c>
      <c r="K379">
        <v>1</v>
      </c>
      <c r="L379">
        <v>0</v>
      </c>
      <c r="M379">
        <f t="shared" si="10"/>
        <v>-101.86641671768344</v>
      </c>
      <c r="N379">
        <f t="shared" si="11"/>
        <v>10376.766854900736</v>
      </c>
    </row>
    <row r="380" spans="2:14" x14ac:dyDescent="0.3">
      <c r="B380">
        <v>19.349</v>
      </c>
      <c r="C380">
        <v>4941</v>
      </c>
      <c r="D380">
        <v>366</v>
      </c>
      <c r="E380">
        <v>1</v>
      </c>
      <c r="F380">
        <v>33</v>
      </c>
      <c r="G380">
        <v>19</v>
      </c>
      <c r="H380">
        <v>0</v>
      </c>
      <c r="I380">
        <v>0</v>
      </c>
      <c r="J380">
        <v>1</v>
      </c>
      <c r="K380">
        <v>1</v>
      </c>
      <c r="L380">
        <v>717</v>
      </c>
      <c r="M380">
        <f t="shared" si="10"/>
        <v>712.18203002540133</v>
      </c>
      <c r="N380">
        <f t="shared" si="11"/>
        <v>23.212834676134293</v>
      </c>
    </row>
    <row r="381" spans="2:14" x14ac:dyDescent="0.3">
      <c r="B381">
        <v>53.308</v>
      </c>
      <c r="C381">
        <v>2860</v>
      </c>
      <c r="D381">
        <v>214</v>
      </c>
      <c r="E381">
        <v>1</v>
      </c>
      <c r="F381">
        <v>84</v>
      </c>
      <c r="G381">
        <v>10</v>
      </c>
      <c r="H381">
        <v>0</v>
      </c>
      <c r="I381">
        <v>0</v>
      </c>
      <c r="J381">
        <v>1</v>
      </c>
      <c r="K381">
        <v>1</v>
      </c>
      <c r="L381">
        <v>0</v>
      </c>
      <c r="M381">
        <f t="shared" si="10"/>
        <v>-50.708408922098279</v>
      </c>
      <c r="N381">
        <f t="shared" si="11"/>
        <v>2571.3427354107362</v>
      </c>
    </row>
    <row r="382" spans="2:14" x14ac:dyDescent="0.3">
      <c r="B382">
        <v>115.123</v>
      </c>
      <c r="C382">
        <v>7760</v>
      </c>
      <c r="D382">
        <v>538</v>
      </c>
      <c r="E382">
        <v>3</v>
      </c>
      <c r="F382">
        <v>83</v>
      </c>
      <c r="G382">
        <v>14</v>
      </c>
      <c r="H382">
        <v>1</v>
      </c>
      <c r="I382">
        <v>0</v>
      </c>
      <c r="J382">
        <v>0</v>
      </c>
      <c r="K382">
        <v>0</v>
      </c>
      <c r="L382">
        <v>661</v>
      </c>
      <c r="M382">
        <f t="shared" si="10"/>
        <v>669.72407237172683</v>
      </c>
      <c r="N382">
        <f t="shared" si="11"/>
        <v>76.10943874712747</v>
      </c>
    </row>
    <row r="383" spans="2:14" x14ac:dyDescent="0.3">
      <c r="B383">
        <v>101.788</v>
      </c>
      <c r="C383">
        <v>8029</v>
      </c>
      <c r="D383">
        <v>574</v>
      </c>
      <c r="E383">
        <v>2</v>
      </c>
      <c r="F383">
        <v>84</v>
      </c>
      <c r="G383">
        <v>11</v>
      </c>
      <c r="H383">
        <v>0</v>
      </c>
      <c r="I383">
        <v>0</v>
      </c>
      <c r="J383">
        <v>1</v>
      </c>
      <c r="K383">
        <v>1</v>
      </c>
      <c r="L383">
        <v>849</v>
      </c>
      <c r="M383">
        <f t="shared" si="10"/>
        <v>875.64670043449803</v>
      </c>
      <c r="N383">
        <f t="shared" si="11"/>
        <v>710.04664404587743</v>
      </c>
    </row>
    <row r="384" spans="2:14" x14ac:dyDescent="0.3">
      <c r="B384">
        <v>24.824000000000002</v>
      </c>
      <c r="C384">
        <v>5495</v>
      </c>
      <c r="D384">
        <v>409</v>
      </c>
      <c r="E384">
        <v>1</v>
      </c>
      <c r="F384">
        <v>33</v>
      </c>
      <c r="G384">
        <v>9</v>
      </c>
      <c r="H384">
        <v>0</v>
      </c>
      <c r="I384">
        <v>1</v>
      </c>
      <c r="J384">
        <v>0</v>
      </c>
      <c r="K384">
        <v>1</v>
      </c>
      <c r="L384">
        <v>1352</v>
      </c>
      <c r="M384">
        <f t="shared" si="10"/>
        <v>1274.1135284836337</v>
      </c>
      <c r="N384">
        <f t="shared" si="11"/>
        <v>6066.3024452697437</v>
      </c>
    </row>
    <row r="385" spans="2:14" x14ac:dyDescent="0.3">
      <c r="B385">
        <v>14.292</v>
      </c>
      <c r="C385">
        <v>3274</v>
      </c>
      <c r="D385">
        <v>282</v>
      </c>
      <c r="E385">
        <v>9</v>
      </c>
      <c r="F385">
        <v>64</v>
      </c>
      <c r="G385">
        <v>9</v>
      </c>
      <c r="H385">
        <v>0</v>
      </c>
      <c r="I385">
        <v>0</v>
      </c>
      <c r="J385">
        <v>1</v>
      </c>
      <c r="K385">
        <v>1</v>
      </c>
      <c r="L385">
        <v>382</v>
      </c>
      <c r="M385">
        <f t="shared" si="10"/>
        <v>407.29998217577065</v>
      </c>
      <c r="N385">
        <f t="shared" si="11"/>
        <v>640.0890980943127</v>
      </c>
    </row>
    <row r="386" spans="2:14" x14ac:dyDescent="0.3">
      <c r="B386">
        <v>20.088000000000001</v>
      </c>
      <c r="C386">
        <v>1870</v>
      </c>
      <c r="D386">
        <v>180</v>
      </c>
      <c r="E386">
        <v>3</v>
      </c>
      <c r="F386">
        <v>76</v>
      </c>
      <c r="G386">
        <v>16</v>
      </c>
      <c r="H386">
        <v>0</v>
      </c>
      <c r="I386">
        <v>0</v>
      </c>
      <c r="J386">
        <v>0</v>
      </c>
      <c r="K386">
        <v>0</v>
      </c>
      <c r="L386">
        <v>0</v>
      </c>
      <c r="M386">
        <f t="shared" si="10"/>
        <v>-127.86631272023706</v>
      </c>
      <c r="N386">
        <f t="shared" si="11"/>
        <v>16349.793928669458</v>
      </c>
    </row>
    <row r="387" spans="2:14" x14ac:dyDescent="0.3">
      <c r="B387">
        <v>26.4</v>
      </c>
      <c r="C387">
        <v>5640</v>
      </c>
      <c r="D387">
        <v>398</v>
      </c>
      <c r="E387">
        <v>3</v>
      </c>
      <c r="F387">
        <v>58</v>
      </c>
      <c r="G387">
        <v>15</v>
      </c>
      <c r="H387">
        <v>1</v>
      </c>
      <c r="I387">
        <v>0</v>
      </c>
      <c r="J387">
        <v>0</v>
      </c>
      <c r="K387">
        <v>2</v>
      </c>
      <c r="L387">
        <v>905</v>
      </c>
      <c r="M387">
        <f t="shared" ref="M387:M401" si="12">$Q$3+$Q$4*B387+$Q$5*C387+$Q$6*D387+$Q$7*E387+$Q$8*F387+$Q$9*G387+$Q$10*H387+$Q$11*I387+$Q$12*J387+$Q$13*K387</f>
        <v>830.2817387344769</v>
      </c>
      <c r="N387">
        <f t="shared" ref="N387:N401" si="13">(L387-M387)^2</f>
        <v>5582.8185665429692</v>
      </c>
    </row>
    <row r="388" spans="2:14" x14ac:dyDescent="0.3">
      <c r="B388">
        <v>19.253</v>
      </c>
      <c r="C388">
        <v>3683</v>
      </c>
      <c r="D388">
        <v>287</v>
      </c>
      <c r="E388">
        <v>4</v>
      </c>
      <c r="F388">
        <v>57</v>
      </c>
      <c r="G388">
        <v>10</v>
      </c>
      <c r="H388">
        <v>0</v>
      </c>
      <c r="I388">
        <v>0</v>
      </c>
      <c r="J388">
        <v>0</v>
      </c>
      <c r="K388">
        <v>0</v>
      </c>
      <c r="L388">
        <v>371</v>
      </c>
      <c r="M388">
        <f t="shared" si="12"/>
        <v>474.59907825611447</v>
      </c>
      <c r="N388">
        <f t="shared" si="13"/>
        <v>10732.769015516529</v>
      </c>
    </row>
    <row r="389" spans="2:14" x14ac:dyDescent="0.3">
      <c r="B389">
        <v>16.529</v>
      </c>
      <c r="C389">
        <v>1357</v>
      </c>
      <c r="D389">
        <v>126</v>
      </c>
      <c r="E389">
        <v>3</v>
      </c>
      <c r="F389">
        <v>62</v>
      </c>
      <c r="G389">
        <v>9</v>
      </c>
      <c r="H389">
        <v>0</v>
      </c>
      <c r="I389">
        <v>0</v>
      </c>
      <c r="J389">
        <v>0</v>
      </c>
      <c r="K389">
        <v>2</v>
      </c>
      <c r="L389">
        <v>0</v>
      </c>
      <c r="M389">
        <f t="shared" si="12"/>
        <v>-85.461916998934157</v>
      </c>
      <c r="N389">
        <f t="shared" si="13"/>
        <v>7303.7392571327109</v>
      </c>
    </row>
    <row r="390" spans="2:14" x14ac:dyDescent="0.3">
      <c r="B390">
        <v>37.878</v>
      </c>
      <c r="C390">
        <v>6827</v>
      </c>
      <c r="D390">
        <v>482</v>
      </c>
      <c r="E390">
        <v>2</v>
      </c>
      <c r="F390">
        <v>80</v>
      </c>
      <c r="G390">
        <v>13</v>
      </c>
      <c r="H390">
        <v>1</v>
      </c>
      <c r="I390">
        <v>0</v>
      </c>
      <c r="J390">
        <v>0</v>
      </c>
      <c r="K390">
        <v>1</v>
      </c>
      <c r="L390">
        <v>1129</v>
      </c>
      <c r="M390">
        <f t="shared" si="12"/>
        <v>1014.9781314327807</v>
      </c>
      <c r="N390">
        <f t="shared" si="13"/>
        <v>13000.986511560222</v>
      </c>
    </row>
    <row r="391" spans="2:14" x14ac:dyDescent="0.3">
      <c r="B391">
        <v>83.947999999999993</v>
      </c>
      <c r="C391">
        <v>7100</v>
      </c>
      <c r="D391">
        <v>503</v>
      </c>
      <c r="E391">
        <v>2</v>
      </c>
      <c r="F391">
        <v>44</v>
      </c>
      <c r="G391">
        <v>18</v>
      </c>
      <c r="H391">
        <v>0</v>
      </c>
      <c r="I391">
        <v>0</v>
      </c>
      <c r="J391">
        <v>0</v>
      </c>
      <c r="K391">
        <v>1</v>
      </c>
      <c r="L391">
        <v>806</v>
      </c>
      <c r="M391">
        <f t="shared" si="12"/>
        <v>772.51816363616524</v>
      </c>
      <c r="N391">
        <f t="shared" si="13"/>
        <v>1121.0333662946075</v>
      </c>
    </row>
    <row r="392" spans="2:14" x14ac:dyDescent="0.3">
      <c r="B392">
        <v>135.11799999999999</v>
      </c>
      <c r="C392">
        <v>10578</v>
      </c>
      <c r="D392">
        <v>747</v>
      </c>
      <c r="E392">
        <v>3</v>
      </c>
      <c r="F392">
        <v>81</v>
      </c>
      <c r="G392">
        <v>15</v>
      </c>
      <c r="H392">
        <v>1</v>
      </c>
      <c r="I392">
        <v>0</v>
      </c>
      <c r="J392">
        <v>1</v>
      </c>
      <c r="K392">
        <v>2</v>
      </c>
      <c r="L392">
        <v>1393</v>
      </c>
      <c r="M392">
        <f t="shared" si="12"/>
        <v>1218.6404406258682</v>
      </c>
      <c r="N392">
        <f t="shared" si="13"/>
        <v>30401.255945141384</v>
      </c>
    </row>
    <row r="393" spans="2:14" x14ac:dyDescent="0.3">
      <c r="B393">
        <v>73.326999999999998</v>
      </c>
      <c r="C393">
        <v>6555</v>
      </c>
      <c r="D393">
        <v>472</v>
      </c>
      <c r="E393">
        <v>2</v>
      </c>
      <c r="F393">
        <v>43</v>
      </c>
      <c r="G393">
        <v>15</v>
      </c>
      <c r="H393">
        <v>1</v>
      </c>
      <c r="I393">
        <v>0</v>
      </c>
      <c r="J393">
        <v>0</v>
      </c>
      <c r="K393">
        <v>1</v>
      </c>
      <c r="L393">
        <v>721</v>
      </c>
      <c r="M393">
        <f t="shared" si="12"/>
        <v>761.70522035813121</v>
      </c>
      <c r="N393">
        <f t="shared" si="13"/>
        <v>1656.9149644040199</v>
      </c>
    </row>
    <row r="394" spans="2:14" x14ac:dyDescent="0.3">
      <c r="B394">
        <v>25.974</v>
      </c>
      <c r="C394">
        <v>2308</v>
      </c>
      <c r="D394">
        <v>196</v>
      </c>
      <c r="E394">
        <v>2</v>
      </c>
      <c r="F394">
        <v>24</v>
      </c>
      <c r="G394">
        <v>10</v>
      </c>
      <c r="H394">
        <v>0</v>
      </c>
      <c r="I394">
        <v>0</v>
      </c>
      <c r="J394">
        <v>0</v>
      </c>
      <c r="K394">
        <v>2</v>
      </c>
      <c r="L394">
        <v>0</v>
      </c>
      <c r="M394">
        <f t="shared" si="12"/>
        <v>170.85447426009029</v>
      </c>
      <c r="N394">
        <f t="shared" si="13"/>
        <v>29191.251374691852</v>
      </c>
    </row>
    <row r="395" spans="2:14" x14ac:dyDescent="0.3">
      <c r="B395">
        <v>17.315999999999999</v>
      </c>
      <c r="C395">
        <v>1335</v>
      </c>
      <c r="D395">
        <v>138</v>
      </c>
      <c r="E395">
        <v>2</v>
      </c>
      <c r="F395">
        <v>65</v>
      </c>
      <c r="G395">
        <v>13</v>
      </c>
      <c r="H395">
        <v>0</v>
      </c>
      <c r="I395">
        <v>0</v>
      </c>
      <c r="J395">
        <v>0</v>
      </c>
      <c r="K395">
        <v>0</v>
      </c>
      <c r="L395">
        <v>0</v>
      </c>
      <c r="M395">
        <f t="shared" si="12"/>
        <v>-166.07472290906611</v>
      </c>
      <c r="N395">
        <f t="shared" si="13"/>
        <v>27580.813589323086</v>
      </c>
    </row>
    <row r="396" spans="2:14" x14ac:dyDescent="0.3">
      <c r="B396">
        <v>49.793999999999997</v>
      </c>
      <c r="C396">
        <v>5758</v>
      </c>
      <c r="D396">
        <v>410</v>
      </c>
      <c r="E396">
        <v>4</v>
      </c>
      <c r="F396">
        <v>40</v>
      </c>
      <c r="G396">
        <v>8</v>
      </c>
      <c r="H396">
        <v>0</v>
      </c>
      <c r="I396">
        <v>0</v>
      </c>
      <c r="J396">
        <v>0</v>
      </c>
      <c r="K396">
        <v>1</v>
      </c>
      <c r="L396">
        <v>734</v>
      </c>
      <c r="M396">
        <f t="shared" si="12"/>
        <v>849.03022805792136</v>
      </c>
      <c r="N396">
        <f t="shared" si="13"/>
        <v>13231.953367057398</v>
      </c>
    </row>
    <row r="397" spans="2:14" x14ac:dyDescent="0.3">
      <c r="B397">
        <v>12.096</v>
      </c>
      <c r="C397">
        <v>4100</v>
      </c>
      <c r="D397">
        <v>307</v>
      </c>
      <c r="E397">
        <v>3</v>
      </c>
      <c r="F397">
        <v>32</v>
      </c>
      <c r="G397">
        <v>13</v>
      </c>
      <c r="H397">
        <v>0</v>
      </c>
      <c r="I397">
        <v>0</v>
      </c>
      <c r="J397">
        <v>1</v>
      </c>
      <c r="K397">
        <v>1</v>
      </c>
      <c r="L397">
        <v>560</v>
      </c>
      <c r="M397">
        <f t="shared" si="12"/>
        <v>650.61877246063932</v>
      </c>
      <c r="N397">
        <f t="shared" si="13"/>
        <v>8211.7619222731228</v>
      </c>
    </row>
    <row r="398" spans="2:14" x14ac:dyDescent="0.3">
      <c r="B398">
        <v>13.364000000000001</v>
      </c>
      <c r="C398">
        <v>3838</v>
      </c>
      <c r="D398">
        <v>296</v>
      </c>
      <c r="E398">
        <v>5</v>
      </c>
      <c r="F398">
        <v>65</v>
      </c>
      <c r="G398">
        <v>17</v>
      </c>
      <c r="H398">
        <v>0</v>
      </c>
      <c r="I398">
        <v>0</v>
      </c>
      <c r="J398">
        <v>0</v>
      </c>
      <c r="K398">
        <v>0</v>
      </c>
      <c r="L398">
        <v>480</v>
      </c>
      <c r="M398">
        <f t="shared" si="12"/>
        <v>426.73364453520946</v>
      </c>
      <c r="N398">
        <f t="shared" si="13"/>
        <v>2837.3046245014207</v>
      </c>
    </row>
    <row r="399" spans="2:14" x14ac:dyDescent="0.3">
      <c r="B399">
        <v>57.872</v>
      </c>
      <c r="C399">
        <v>4171</v>
      </c>
      <c r="D399">
        <v>321</v>
      </c>
      <c r="E399">
        <v>5</v>
      </c>
      <c r="F399">
        <v>67</v>
      </c>
      <c r="G399">
        <v>12</v>
      </c>
      <c r="H399">
        <v>1</v>
      </c>
      <c r="I399">
        <v>0</v>
      </c>
      <c r="J399">
        <v>1</v>
      </c>
      <c r="K399">
        <v>1</v>
      </c>
      <c r="L399">
        <v>138</v>
      </c>
      <c r="M399">
        <f t="shared" si="12"/>
        <v>260.989190726446</v>
      </c>
      <c r="N399">
        <f t="shared" si="13"/>
        <v>15126.341035546111</v>
      </c>
    </row>
    <row r="400" spans="2:14" x14ac:dyDescent="0.3">
      <c r="B400">
        <v>37.728000000000002</v>
      </c>
      <c r="C400">
        <v>2525</v>
      </c>
      <c r="D400">
        <v>192</v>
      </c>
      <c r="E400">
        <v>1</v>
      </c>
      <c r="F400">
        <v>44</v>
      </c>
      <c r="G400">
        <v>13</v>
      </c>
      <c r="H400">
        <v>0</v>
      </c>
      <c r="I400">
        <v>0</v>
      </c>
      <c r="J400">
        <v>1</v>
      </c>
      <c r="K400">
        <v>1</v>
      </c>
      <c r="L400">
        <v>0</v>
      </c>
      <c r="M400">
        <f t="shared" si="12"/>
        <v>39.775738591335418</v>
      </c>
      <c r="N400">
        <f t="shared" si="13"/>
        <v>1582.1093804862496</v>
      </c>
    </row>
    <row r="401" spans="2:14" x14ac:dyDescent="0.3">
      <c r="B401">
        <v>18.701000000000001</v>
      </c>
      <c r="C401">
        <v>5524</v>
      </c>
      <c r="D401">
        <v>415</v>
      </c>
      <c r="E401">
        <v>5</v>
      </c>
      <c r="F401">
        <v>64</v>
      </c>
      <c r="G401">
        <v>7</v>
      </c>
      <c r="H401">
        <v>1</v>
      </c>
      <c r="I401">
        <v>0</v>
      </c>
      <c r="J401">
        <v>0</v>
      </c>
      <c r="K401">
        <v>2</v>
      </c>
      <c r="L401">
        <v>966</v>
      </c>
      <c r="M401">
        <f t="shared" si="12"/>
        <v>964.93253844750438</v>
      </c>
      <c r="N401">
        <f t="shared" si="13"/>
        <v>1.1394741660563492</v>
      </c>
    </row>
    <row r="402" spans="2:14" x14ac:dyDescent="0.3">
      <c r="M402" s="1"/>
      <c r="N40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Kiran Patel</cp:lastModifiedBy>
  <dcterms:created xsi:type="dcterms:W3CDTF">2026-04-01T06:57:05Z</dcterms:created>
  <dcterms:modified xsi:type="dcterms:W3CDTF">2026-04-01T07:26:06Z</dcterms:modified>
</cp:coreProperties>
</file>